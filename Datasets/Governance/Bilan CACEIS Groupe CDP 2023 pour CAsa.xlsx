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hld.net\dfs\users\HOUHMIDI\Desktop\JIRA PROSPECTUS\Sujet Alberthon\Alexandra\"/>
    </mc:Choice>
  </mc:AlternateContent>
  <xr:revisionPtr revIDLastSave="0" documentId="13_ncr:1_{BA0FA2ED-CD7D-4F1B-86FA-BE47BD7DF5C3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Bilan groupe" sheetId="1" state="hidden" r:id="rId1"/>
    <sheet name="Lauréats" sheetId="2" r:id="rId2"/>
    <sheet name="Thèmes" sheetId="3" r:id="rId3"/>
    <sheet name="Feuil1" sheetId="4" r:id="rId4"/>
  </sheets>
  <definedNames>
    <definedName name="_xlnm._FilterDatabase" localSheetId="1" hidden="1">Lauréats!$A$1:$H$1</definedName>
  </definedNames>
  <calcPr calcId="191029"/>
  <pivotCaches>
    <pivotCache cacheId="218" r:id="rId5"/>
    <pivotCache cacheId="2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H13" i="1" l="1"/>
  <c r="F13" i="1" l="1"/>
</calcChain>
</file>

<file path=xl/sharedStrings.xml><?xml version="1.0" encoding="utf-8"?>
<sst xmlns="http://schemas.openxmlformats.org/spreadsheetml/2006/main" count="139" uniqueCount="59">
  <si>
    <t>Entité</t>
  </si>
  <si>
    <t xml:space="preserve">Envoi </t>
  </si>
  <si>
    <t>Réponse</t>
  </si>
  <si>
    <t>Relance</t>
  </si>
  <si>
    <t>CA Assurances</t>
  </si>
  <si>
    <t>CACIB</t>
  </si>
  <si>
    <t>LCL</t>
  </si>
  <si>
    <t>CACEIS</t>
  </si>
  <si>
    <t>AMUNDI</t>
  </si>
  <si>
    <t>CASA</t>
  </si>
  <si>
    <t>CA Immo</t>
  </si>
  <si>
    <t>CA CF</t>
  </si>
  <si>
    <t>Montant total des subventions</t>
  </si>
  <si>
    <t xml:space="preserve">Jury </t>
  </si>
  <si>
    <t xml:space="preserve">Nombre de lauréats </t>
  </si>
  <si>
    <t>Total subventions</t>
  </si>
  <si>
    <t>Total nb de lauréats</t>
  </si>
  <si>
    <t>BILAN COUPS DE POUCE GROUPE</t>
  </si>
  <si>
    <t>x</t>
  </si>
  <si>
    <t>Jury CDP le 7 novembre, me revient le 9/11</t>
  </si>
  <si>
    <t>X</t>
  </si>
  <si>
    <t>Nom du collaborateur</t>
  </si>
  <si>
    <t>Nom de l'association</t>
  </si>
  <si>
    <t>Téléphone</t>
  </si>
  <si>
    <t>Mail</t>
  </si>
  <si>
    <t>X, le 13/11</t>
  </si>
  <si>
    <t>oui</t>
  </si>
  <si>
    <t>15/16/17 octobre</t>
  </si>
  <si>
    <t>CAPS</t>
  </si>
  <si>
    <t>Prénom du collaborateur</t>
  </si>
  <si>
    <t>Montant alloué</t>
  </si>
  <si>
    <t>Santé et recherche</t>
  </si>
  <si>
    <t>Environnement</t>
  </si>
  <si>
    <t>Education</t>
  </si>
  <si>
    <t>Social et insertion</t>
  </si>
  <si>
    <t>Solidarité internationale</t>
  </si>
  <si>
    <t>Culture et patrimoine</t>
  </si>
  <si>
    <t xml:space="preserve">Thèmes </t>
  </si>
  <si>
    <t>Thème*</t>
  </si>
  <si>
    <t>* rappel de la liste des thèmes en 2ème onglet</t>
  </si>
  <si>
    <t>Étiquettes de lignes</t>
  </si>
  <si>
    <t>Nombre de Nom de l'association</t>
  </si>
  <si>
    <t>Total général</t>
  </si>
  <si>
    <t>Somme de Montant alloué</t>
  </si>
  <si>
    <t>Education/ Social et insertion</t>
  </si>
  <si>
    <t>ACUT</t>
  </si>
  <si>
    <t>Guiguitar Music</t>
  </si>
  <si>
    <t>Dans les pas de Charlotte</t>
  </si>
  <si>
    <t>8 Baskets Mille sourires</t>
  </si>
  <si>
    <t>Creation Danse</t>
  </si>
  <si>
    <t>Club d'échec d'Orsay</t>
  </si>
  <si>
    <t>Grande ourse</t>
  </si>
  <si>
    <t>CACEIS (France)</t>
  </si>
  <si>
    <t>CACEIS (Luxembourg)</t>
  </si>
  <si>
    <t>Fondation Kriibskrank Kanner</t>
  </si>
  <si>
    <t>les Amis de Gounnine</t>
  </si>
  <si>
    <t>L’association du Grand-Failly</t>
  </si>
  <si>
    <t>Club d’Escalade Evasion de Thionville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</si>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</sst>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333333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95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7" fillId="9" borderId="0" applyNumberFormat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5" fillId="0" borderId="0">
      <alignment vertical="center" wrapText="1"/>
    </xf>
  </cellStyleXfs>
  <cellXfs count="103">
    <xf numFmtId="0" fontId="0" fillId="0" borderId="0" xfId="0"/>
    <xf numFmtId="0" fontId="0" fillId="0" borderId="0" xfId="0" applyFont="1"/>
    <xf numFmtId="0" fontId="1" fillId="0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0" fillId="0" borderId="1" xfId="0" applyBorder="1"/>
    <xf numFmtId="16" fontId="4" fillId="0" borderId="1" xfId="0" applyNumberFormat="1" applyFont="1" applyFill="1" applyBorder="1" applyAlignment="1">
      <alignment horizontal="center" vertical="center" wrapText="1" readingOrder="1"/>
    </xf>
    <xf numFmtId="16" fontId="3" fillId="0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6" fontId="1" fillId="0" borderId="1" xfId="0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1" xfId="0" applyBorder="1" applyAlignment="1">
      <alignment horizontal="center" vertical="top" wrapText="1"/>
    </xf>
    <xf numFmtId="6" fontId="1" fillId="5" borderId="4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wrapText="1"/>
    </xf>
    <xf numFmtId="6" fontId="1" fillId="0" borderId="1" xfId="0" applyNumberFormat="1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 readingOrder="1"/>
    </xf>
    <xf numFmtId="0" fontId="3" fillId="10" borderId="1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6" fontId="1" fillId="10" borderId="2" xfId="0" applyNumberFormat="1" applyFont="1" applyFill="1" applyBorder="1" applyAlignment="1">
      <alignment horizontal="center"/>
    </xf>
    <xf numFmtId="16" fontId="4" fillId="10" borderId="1" xfId="0" applyNumberFormat="1" applyFont="1" applyFill="1" applyBorder="1" applyAlignment="1">
      <alignment horizontal="center" vertical="center" wrapText="1" readingOrder="1"/>
    </xf>
    <xf numFmtId="16" fontId="3" fillId="10" borderId="1" xfId="0" applyNumberFormat="1" applyFont="1" applyFill="1" applyBorder="1" applyAlignment="1">
      <alignment horizontal="center" vertical="center" wrapText="1" readingOrder="1"/>
    </xf>
    <xf numFmtId="0" fontId="0" fillId="10" borderId="2" xfId="0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0" fillId="0" borderId="6" xfId="0" applyBorder="1"/>
    <xf numFmtId="0" fontId="2" fillId="0" borderId="6" xfId="0" applyFont="1" applyBorder="1" applyAlignment="1">
      <alignment horizontal="center"/>
    </xf>
    <xf numFmtId="44" fontId="8" fillId="0" borderId="6" xfId="3" applyFont="1" applyBorder="1" applyAlignment="1">
      <alignment horizontal="center" vertical="center"/>
    </xf>
    <xf numFmtId="0" fontId="0" fillId="0" borderId="9" xfId="0" applyBorder="1"/>
    <xf numFmtId="0" fontId="2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1" xfId="0" applyFill="1" applyBorder="1"/>
    <xf numFmtId="0" fontId="1" fillId="8" borderId="1" xfId="0" applyFont="1" applyFill="1" applyBorder="1" applyAlignment="1">
      <alignment horizontal="center"/>
    </xf>
    <xf numFmtId="165" fontId="0" fillId="8" borderId="1" xfId="8" applyNumberFormat="1" applyFont="1" applyFill="1" applyBorder="1" applyAlignment="1">
      <alignment horizontal="center"/>
    </xf>
    <xf numFmtId="0" fontId="1" fillId="8" borderId="1" xfId="0" applyFont="1" applyFill="1" applyBorder="1"/>
    <xf numFmtId="165" fontId="1" fillId="8" borderId="1" xfId="8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0" fillId="0" borderId="8" xfId="0" applyBorder="1"/>
    <xf numFmtId="0" fontId="8" fillId="8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44" fontId="10" fillId="7" borderId="7" xfId="3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44" fontId="8" fillId="0" borderId="8" xfId="3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4" fontId="8" fillId="0" borderId="1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44" fontId="8" fillId="0" borderId="7" xfId="3" applyFont="1" applyBorder="1" applyAlignment="1">
      <alignment horizontal="center" vertical="center"/>
    </xf>
    <xf numFmtId="0" fontId="11" fillId="8" borderId="0" xfId="0" applyFont="1" applyFill="1" applyBorder="1"/>
    <xf numFmtId="165" fontId="0" fillId="8" borderId="0" xfId="8" applyNumberFormat="1" applyFont="1" applyFill="1" applyBorder="1" applyAlignment="1">
      <alignment horizontal="center"/>
    </xf>
    <xf numFmtId="0" fontId="0" fillId="8" borderId="0" xfId="0" applyFill="1" applyBorder="1"/>
    <xf numFmtId="0" fontId="1" fillId="8" borderId="0" xfId="0" applyFont="1" applyFill="1" applyBorder="1"/>
    <xf numFmtId="165" fontId="1" fillId="8" borderId="0" xfId="8" applyNumberFormat="1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44" fontId="8" fillId="8" borderId="0" xfId="3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/>
    </xf>
    <xf numFmtId="165" fontId="9" fillId="8" borderId="1" xfId="8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8" fillId="0" borderId="13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8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0" xfId="0" applyFont="1"/>
    <xf numFmtId="0" fontId="1" fillId="3" borderId="0" xfId="0" applyFont="1" applyFill="1" applyAlignment="1">
      <alignment horizontal="left"/>
    </xf>
    <xf numFmtId="0" fontId="2" fillId="0" borderId="6" xfId="0" applyFont="1" applyBorder="1" applyAlignment="1">
      <alignment horizontal="center"/>
    </xf>
  </cellXfs>
  <cellStyles count="11">
    <cellStyle name="Comma" xfId="8" builtinId="3"/>
    <cellStyle name="Currency" xfId="3" builtinId="4"/>
    <cellStyle name="Monétaire 2" xfId="2" xr:uid="{00000000-0005-0000-0000-000002000000}"/>
    <cellStyle name="Monétaire 2 2" xfId="4" xr:uid="{00000000-0005-0000-0000-000003000000}"/>
    <cellStyle name="Monétaire 2 3" xfId="6" xr:uid="{00000000-0005-0000-0000-000004000000}"/>
    <cellStyle name="Monétaire 3" xfId="5" xr:uid="{00000000-0005-0000-0000-000005000000}"/>
    <cellStyle name="Monétaire 4" xfId="7" xr:uid="{00000000-0005-0000-0000-000006000000}"/>
    <cellStyle name="Neutre 2" xfId="1" xr:uid="{00000000-0005-0000-0000-000007000000}"/>
    <cellStyle name="Normal" xfId="0" builtinId="0"/>
    <cellStyle name="Normal 2" xfId="10" xr:uid="{00000000-0005-0000-0000-000009000000}"/>
    <cellStyle name="Normal 3" xfId="9" xr:uid="{00000000-0005-0000-0000-00000A000000}"/>
  </cellStyles>
  <dxfs count="0"/>
  <tableStyles count="0" defaultTableStyle="TableStyleMedium2" defaultPivotStyle="PivotStyleLight16"/>
  <colors>
    <mruColors>
      <color rgb="FFDDC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[Bilan CACEIS Groupe CDP 2023 pour CAsa.xlsx]Feuil1!Tableau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Thème</a:t>
            </a:r>
            <a:r>
              <a:rPr lang="en-US" baseline="0"/>
              <a:t> des associations soutenues en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Feuil1!$C$16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B7-414D-89FB-A409BFBBC3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B7-414D-89FB-A409BFBBC3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B7-414D-89FB-A409BFBBC3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B7-414D-89FB-A409BFBBC3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AB7-414D-89FB-A409BFBBC3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AB7-414D-89FB-A409BFBBC3B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AB7-414D-89FB-A409BFBBC3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Feuil1!$B$17:$B$24</c:f>
              <c:strCache>
                <c:ptCount val="7"/>
                <c:pt idx="0">
                  <c:v>Culture et patrimoine</c:v>
                </c:pt>
                <c:pt idx="1">
                  <c:v>Education</c:v>
                </c:pt>
                <c:pt idx="2">
                  <c:v>Education/ Social et insertion</c:v>
                </c:pt>
                <c:pt idx="3">
                  <c:v>Environnement</c:v>
                </c:pt>
                <c:pt idx="4">
                  <c:v>Santé et recherche</c:v>
                </c:pt>
                <c:pt idx="5">
                  <c:v>Social et insertion</c:v>
                </c:pt>
                <c:pt idx="6">
                  <c:v>Solidarité internationale</c:v>
                </c:pt>
              </c:strCache>
            </c:strRef>
          </c:cat>
          <c:val>
            <c:numRef>
              <c:f>Feuil1!$C$17:$C$24</c:f>
              <c:numCache>
                <c:formatCode>General</c:formatCode>
                <c:ptCount val="7"/>
                <c:pt idx="0">
                  <c:v>2</c:v>
                </c:pt>
                <c:pt idx="1">
                  <c:v>18</c:v>
                </c:pt>
                <c:pt idx="2">
                  <c:v>2</c:v>
                </c:pt>
                <c:pt idx="3">
                  <c:v>11</c:v>
                </c:pt>
                <c:pt idx="4">
                  <c:v>13</c:v>
                </c:pt>
                <c:pt idx="5">
                  <c:v>46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6-4BEC-BB26-3938440303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11989859731259"/>
          <c:y val="0.16533022657882052"/>
          <c:w val="0.27994743189107052"/>
          <c:h val="0.70290936847179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12</xdr:row>
      <xdr:rowOff>152400</xdr:rowOff>
    </xdr:from>
    <xdr:to>
      <xdr:col>12</xdr:col>
      <xdr:colOff>171449</xdr:colOff>
      <xdr:row>32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CHET Eléa" refreshedDate="45033.615766898147" createdVersion="6" refreshedVersion="6" minRefreshableVersion="3" recordCount="119" xr:uid="{00000000-000A-0000-FFFF-FFFF02000000}">
  <cacheSource type="worksheet">
    <worksheetSource ref="A1:I1" sheet="Lauréats"/>
  </cacheSource>
  <cacheFields count="9">
    <cacheField name="Entité" numFmtId="0">
      <sharedItems containsBlank="1"/>
    </cacheField>
    <cacheField name="Nom du collaborateur" numFmtId="0">
      <sharedItems/>
    </cacheField>
    <cacheField name="Prénom du collaborateur" numFmtId="0">
      <sharedItems/>
    </cacheField>
    <cacheField name="Nom de l'association" numFmtId="0">
      <sharedItems containsBlank="1" count="118">
        <s v="ADESDA 78"/>
        <s v="Génération Cochlée"/>
        <s v="Etincelle"/>
        <s v="What Dance can do "/>
        <s v="Entrepreneurs du Monde "/>
        <s v="AFP Phare "/>
        <s v="Entourage "/>
        <s v="Chœur et orchestre Français d'Oratorio"/>
        <s v="Vaincre la muscoviscidose "/>
        <s v="ASF 92"/>
        <s v="Dauph international Youth"/>
        <s v="MARFANS"/>
        <s v="Cap Handi Cap"/>
        <s v="Tinbo "/>
        <s v="Home Sweet Momes"/>
        <s v="Association Courage d'Ulysse Tonye - ACUT"/>
        <s v="Club d'échecs d'Orsay"/>
        <s v="Création Danse"/>
        <s v="Groupe SOS Solidarité"/>
        <s v="Longitude 181"/>
        <s v="1 pensée 1 action"/>
        <s v="A chacun son Everest!"/>
        <s v="A.Socio-Culturelle de Grand Failly"/>
        <s v="Kriibskrank Kanner "/>
        <s v="Enneaboost"/>
        <s v="Les amis de Gounnine"/>
        <s v="La Trace"/>
        <s v="Himalaya Help&amp;Care"/>
        <s v="Utopia"/>
        <s v="Aube Nouvelle"/>
        <s v="Service d'Entraide et de Liaison (SEL)"/>
        <s v="Pour un Sourire d'Enfant (PSE)"/>
        <s v="Fonds de dotation du Centre Hospitalier René Dubos de Pontoise"/>
        <s v="Centre d'Educationconductive de Paris"/>
        <s v="Pour les enfants des rizières"/>
        <s v="Un cadeau pour la vie"/>
        <s v="Actions Femmes Bretagne"/>
        <s v="Association Développement Saboussire (ADS)"/>
        <s v="La Gerbe"/>
        <s v="Yalla Bismillah Ait Bou Oulli Ait Bouguemez"/>
        <s v="Echo mer"/>
        <s v="Inbeatween"/>
        <s v="Tout le Monde contre le Cancer"/>
        <s v="Kodiko"/>
        <m/>
        <s v="SNL"/>
        <s v="Enfants Avenir"/>
        <s v="La voile pour se reconstruire"/>
        <s v="DER EVENT"/>
        <s v="Association Laurette Fugain"/>
        <s v="Association Doggo France"/>
        <s v="Association Atout Cuba"/>
        <s v="Association Amicale des Dzahaniens"/>
        <s v="Association Pattounes sans toi(t)"/>
        <s v="Association La voile pour se reconstuire"/>
        <s v="Associazione italiana Sindrome di Shwachman Onlus"/>
        <s v="Associazione TuttilScena"/>
        <s v="Association Ayuda en red"/>
        <s v="Station Ornithologique du Cap gris nez "/>
        <s v="La Canopée "/>
        <s v="Centre Damien de Molokai "/>
        <s v="Nos Quartiers ont du Talents"/>
        <s v="La Clef "/>
        <s v="Croix Rouge Francçaise"/>
        <s v="Condorcet A Ecole villeneuve saint georges"/>
        <s v="Proxité"/>
        <s v="Docteur Hibou"/>
        <s v="Margarita's Pepper"/>
        <s v="Vivre comme avant "/>
        <s v="Aactive"/>
        <s v="OSM athlétisme"/>
        <s v="Musikaco"/>
        <s v="What Dance we can do ? "/>
        <s v="Apprendre et Entreprendre Solidaire "/>
        <s v="INJENO "/>
        <s v="Handicap à L'école "/>
        <s v="Prête moi tes ailes "/>
        <s v="Après midi Renoir"/>
        <s v="Association Renaissance et Culture"/>
        <s v="Clown Up "/>
        <s v="AS Voltaire Chatenay Malabry "/>
        <s v="HANDISKYDRIVE"/>
        <s v="QUANTA"/>
        <s v="SOLAAL"/>
        <s v="Goupil Connexion"/>
        <s v="Enfants du Désert"/>
        <s v="Pupitres sans frontières"/>
        <s v="PPSF"/>
        <s v="ADAL"/>
        <s v="ACALPA"/>
        <s v="Lab'Opera"/>
        <s v="Delta Kids"/>
        <s v="Agir et vivre ensemble pour coopérer"/>
        <s v="Coups de Soleil"/>
        <s v="Devenir"/>
        <s v="Envole-moi"/>
        <s v="Low Carbon France"/>
        <s v="Nouvel Espoir de Thialy"/>
        <s v="ACFT94"/>
        <s v="Athletic Club Phocéen"/>
        <s v="Cie Sena"/>
        <s v="Clé"/>
        <s v="Erinaceus France"/>
        <s v="ESA"/>
        <s v="Les amis de la librairie Points communs"/>
        <s v="L'Arche en pays comtois"/>
        <s v="Les cadets"/>
        <s v="ASHO"/>
        <s v="Roller Hockey Gennevillois"/>
        <s v="FLE et compagnie"/>
        <s v="Toulouse les Orgues"/>
        <s v="Rugby No Limit"/>
        <s v="USOAM"/>
        <s v="La Recyclante"/>
        <s v="Epicerie étudiants"/>
        <s v="Handball Club Noisiel"/>
        <s v="Compagnie Scènes en boucle"/>
        <s v="Centre d'éducation conductive de Paris" u="1"/>
      </sharedItems>
    </cacheField>
    <cacheField name="Montant alloué" numFmtId="0">
      <sharedItems containsString="0" containsBlank="1" containsNumber="1" containsInteger="1" minValue="888" maxValue="9000"/>
    </cacheField>
    <cacheField name="Téléphone" numFmtId="0">
      <sharedItems containsBlank="1" containsMixedTypes="1" containsNumber="1" containsInteger="1" minValue="97143761180" maxValue="97143761180"/>
    </cacheField>
    <cacheField name="Mail" numFmtId="0">
      <sharedItems/>
    </cacheField>
    <cacheField name="Thème*" numFmtId="0">
      <sharedItems containsBlank="1" count="15">
        <s v="Santé et recherche"/>
        <s v="Social et insertion"/>
        <s v="Education"/>
        <s v="Environnement"/>
        <s v="Culture et patrimoine"/>
        <s v="Solidarité internationale"/>
        <m/>
        <s v="Education/ Social et insertion"/>
        <s v="Protection des animaux" u="1"/>
        <s v="Solidarité internationale " u="1"/>
        <s v="éducation" u="1"/>
        <s v=" Solidarité internationale" u="1"/>
        <s v="Education / Social et Insertion " u="1"/>
        <s v="Education/ Social et Insertion " u="1"/>
        <s v=" Solidarité internationale " u="1"/>
      </sharedItems>
    </cacheField>
    <cacheField name="* rappel de la liste des thèmes en 2ème ongle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CHET Eléa" refreshedDate="45033.616359027779" createdVersion="6" refreshedVersion="6" minRefreshableVersion="3" recordCount="119" xr:uid="{00000000-000A-0000-FFFF-FFFF03000000}">
  <cacheSource type="worksheet">
    <worksheetSource ref="A1:H1" sheet="Lauréats"/>
  </cacheSource>
  <cacheFields count="8">
    <cacheField name="Entité" numFmtId="0">
      <sharedItems containsBlank="1"/>
    </cacheField>
    <cacheField name="Nom du collaborateur" numFmtId="0">
      <sharedItems/>
    </cacheField>
    <cacheField name="Prénom du collaborateur" numFmtId="0">
      <sharedItems/>
    </cacheField>
    <cacheField name="Nom de l'association" numFmtId="0">
      <sharedItems containsBlank="1" count="117">
        <s v="ADESDA 78"/>
        <s v="Génération Cochlée"/>
        <s v="Etincelle"/>
        <s v="What Dance can do "/>
        <s v="Entrepreneurs du Monde "/>
        <s v="AFP Phare "/>
        <s v="Entourage "/>
        <s v="Chœur et orchestre Français d'Oratorio"/>
        <s v="Vaincre la muscoviscidose "/>
        <s v="ASF 92"/>
        <s v="Dauph international Youth"/>
        <s v="MARFANS"/>
        <s v="Cap Handi Cap"/>
        <s v="Tinbo "/>
        <s v="Home Sweet Momes"/>
        <s v="Association Courage d'Ulysse Tonye - ACUT"/>
        <s v="Club d'échecs d'Orsay"/>
        <s v="Création Danse"/>
        <s v="Groupe SOS Solidarité"/>
        <s v="Longitude 181"/>
        <s v="1 pensée 1 action"/>
        <s v="A chacun son Everest!"/>
        <s v="A.Socio-Culturelle de Grand Failly"/>
        <s v="Kriibskrank Kanner "/>
        <s v="Enneaboost"/>
        <s v="Les amis de Gounnine"/>
        <s v="La Trace"/>
        <s v="Himalaya Help&amp;Care"/>
        <s v="Utopia"/>
        <s v="Aube Nouvelle"/>
        <s v="Service d'Entraide et de Liaison (SEL)"/>
        <s v="Pour un Sourire d'Enfant (PSE)"/>
        <s v="Fonds de dotation du Centre Hospitalier René Dubos de Pontoise"/>
        <s v="Centre d'Educationconductive de Paris"/>
        <s v="Pour les enfants des rizières"/>
        <s v="Un cadeau pour la vie"/>
        <s v="Actions Femmes Bretagne"/>
        <s v="Association Développement Saboussire (ADS)"/>
        <s v="La Gerbe"/>
        <s v="Yalla Bismillah Ait Bou Oulli Ait Bouguemez"/>
        <s v="Echo mer"/>
        <s v="Inbeatween"/>
        <s v="Tout le Monde contre le Cancer"/>
        <s v="Kodiko"/>
        <m/>
        <s v="SNL"/>
        <s v="Enfants Avenir"/>
        <s v="La voile pour se reconstruire"/>
        <s v="DER EVENT"/>
        <s v="Association Laurette Fugain"/>
        <s v="Association Doggo France"/>
        <s v="Association Atout Cuba"/>
        <s v="Association Amicale des Dzahaniens"/>
        <s v="Association Pattounes sans toi(t)"/>
        <s v="Association La voile pour se reconstuire"/>
        <s v="Associazione italiana Sindrome di Shwachman Onlus"/>
        <s v="Associazione TuttilScena"/>
        <s v="Association Ayuda en red"/>
        <s v="Station Ornithologique du Cap gris nez "/>
        <s v="La Canopée "/>
        <s v="Centre Damien de Molokai "/>
        <s v="Nos Quartiers ont du Talents"/>
        <s v="La Clef "/>
        <s v="Croix Rouge Francçaise"/>
        <s v="Condorcet A Ecole villeneuve saint georges"/>
        <s v="Proxité"/>
        <s v="Docteur Hibou"/>
        <s v="Margarita's Pepper"/>
        <s v="Vivre comme avant "/>
        <s v="Aactive"/>
        <s v="OSM athlétisme"/>
        <s v="Musikaco"/>
        <s v="What Dance we can do ? "/>
        <s v="Apprendre et Entreprendre Solidaire "/>
        <s v="INJENO "/>
        <s v="Handicap à L'école "/>
        <s v="Prête moi tes ailes "/>
        <s v="Après midi Renoir"/>
        <s v="Association Renaissance et Culture"/>
        <s v="Clown Up "/>
        <s v="AS Voltaire Chatenay Malabry "/>
        <s v="HANDISKYDRIVE"/>
        <s v="QUANTA"/>
        <s v="SOLAAL"/>
        <s v="Goupil Connexion"/>
        <s v="Enfants du Désert"/>
        <s v="Pupitres sans frontières"/>
        <s v="PPSF"/>
        <s v="ADAL"/>
        <s v="ACALPA"/>
        <s v="Lab'Opera"/>
        <s v="Delta Kids"/>
        <s v="Agir et vivre ensemble pour coopérer"/>
        <s v="Coups de Soleil"/>
        <s v="Devenir"/>
        <s v="Envole-moi"/>
        <s v="Low Carbon France"/>
        <s v="Nouvel Espoir de Thialy"/>
        <s v="ACFT94"/>
        <s v="Athletic Club Phocéen"/>
        <s v="Cie Sena"/>
        <s v="Clé"/>
        <s v="Erinaceus France"/>
        <s v="ESA"/>
        <s v="Les amis de la librairie Points communs"/>
        <s v="L'Arche en pays comtois"/>
        <s v="Les cadets"/>
        <s v="ASHO"/>
        <s v="Roller Hockey Gennevillois"/>
        <s v="FLE et compagnie"/>
        <s v="Toulouse les Orgues"/>
        <s v="Rugby No Limit"/>
        <s v="USOAM"/>
        <s v="La Recyclante"/>
        <s v="Epicerie étudiants"/>
        <s v="Handball Club Noisiel"/>
        <s v="Compagnie Scènes en boucle"/>
      </sharedItems>
    </cacheField>
    <cacheField name="Montant alloué" numFmtId="0">
      <sharedItems containsString="0" containsBlank="1" containsNumber="1" containsInteger="1" minValue="888" maxValue="9000"/>
    </cacheField>
    <cacheField name="Téléphone" numFmtId="0">
      <sharedItems containsBlank="1" containsMixedTypes="1" containsNumber="1" containsInteger="1" minValue="97143761180" maxValue="97143761180"/>
    </cacheField>
    <cacheField name="Mail" numFmtId="0">
      <sharedItems/>
    </cacheField>
    <cacheField name="Thème*" numFmtId="0">
      <sharedItems containsBlank="1" count="8">
        <s v="Santé et recherche"/>
        <s v="Social et insertion"/>
        <s v="Education"/>
        <s v="Environnement"/>
        <s v="Culture et patrimoine"/>
        <s v="Solidarité internationale"/>
        <m/>
        <s v="Education/ Social et inser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s v="CACIB "/>
    <s v="CANOLLE "/>
    <s v="Naima "/>
    <x v="0"/>
    <n v="3512"/>
    <s v="01 41 89 40 15"/>
    <s v="naima.canolle@ca-cib.com"/>
    <x v="0"/>
    <m/>
  </r>
  <r>
    <m/>
    <s v="CANOLLE "/>
    <s v="Naima "/>
    <x v="1"/>
    <n v="1000"/>
    <s v="01 41 89 40 15"/>
    <s v="naima.canolle@ca-cib.com"/>
    <x v="1"/>
    <m/>
  </r>
  <r>
    <m/>
    <s v="CHAN "/>
    <s v="Catherine "/>
    <x v="2"/>
    <n v="5388"/>
    <s v="01 57 87 35 92"/>
    <s v="catherine.chan@ca-cib.com"/>
    <x v="2"/>
    <m/>
  </r>
  <r>
    <m/>
    <s v="CHAUVEL"/>
    <s v="Virginie"/>
    <x v="3"/>
    <n v="1800"/>
    <n v="97143761180"/>
    <s v="virginie.chauvel@ca-cib.com"/>
    <x v="1"/>
    <m/>
  </r>
  <r>
    <m/>
    <s v="FARJON "/>
    <s v="Anne "/>
    <x v="4"/>
    <n v="5000"/>
    <s v="01 57 87 18 52"/>
    <s v="anne.farjon@ca-cib.com"/>
    <x v="3"/>
    <m/>
  </r>
  <r>
    <m/>
    <s v="FABIS "/>
    <s v="Karina "/>
    <x v="5"/>
    <n v="3000"/>
    <s v="01 41 89 86 16"/>
    <s v="karina.fabis@ca-cib.com"/>
    <x v="1"/>
    <m/>
  </r>
  <r>
    <m/>
    <s v="HEJJAR "/>
    <s v="Bouchra "/>
    <x v="6"/>
    <n v="1000"/>
    <s v="01 57 87 26 12"/>
    <s v="bouchra.hejjar@ca-cib.com"/>
    <x v="1"/>
    <m/>
  </r>
  <r>
    <m/>
    <s v="JAMIAN "/>
    <s v="Sophie "/>
    <x v="7"/>
    <n v="1000"/>
    <s v="01 41 89 19 41"/>
    <s v="sophie.jamian@ca-cib.com"/>
    <x v="4"/>
    <m/>
  </r>
  <r>
    <m/>
    <s v="JANNOT "/>
    <s v="Loic "/>
    <x v="8"/>
    <n v="3000"/>
    <s v="01 41 89 97 76"/>
    <s v="loic.jannot@ca-cib.com"/>
    <x v="0"/>
    <m/>
  </r>
  <r>
    <m/>
    <s v="JEAN "/>
    <s v="Thibaut"/>
    <x v="9"/>
    <n v="3000"/>
    <s v="01 41 89 28 54"/>
    <s v="thibaut.jean@ca-cib.com"/>
    <x v="0"/>
    <m/>
  </r>
  <r>
    <m/>
    <s v="MALICHECQ "/>
    <s v="Maelys"/>
    <x v="10"/>
    <n v="6648"/>
    <s v="01 57 87 06 00"/>
    <s v="maelys.malichecq@ca-cib.com"/>
    <x v="5"/>
    <m/>
  </r>
  <r>
    <m/>
    <s v="MORIN "/>
    <s v="Laurence "/>
    <x v="11"/>
    <n v="3652"/>
    <s v="01 41 89 06 16"/>
    <s v="laurence.morin@ca-cib.com"/>
    <x v="0"/>
    <m/>
  </r>
  <r>
    <m/>
    <s v="NGUON"/>
    <s v="Thong "/>
    <x v="12"/>
    <n v="3000"/>
    <s v="01 41 89 12 93"/>
    <s v="thong.nguon@ca-cib.com"/>
    <x v="0"/>
    <m/>
  </r>
  <r>
    <m/>
    <s v="SANCHEZ "/>
    <s v="Emilie "/>
    <x v="13"/>
    <n v="3000"/>
    <s v="01 41 89 17 44"/>
    <s v="emilie.sanchez@ca-cib.com"/>
    <x v="5"/>
    <m/>
  </r>
  <r>
    <m/>
    <s v="SIVAKUMAR"/>
    <s v="Gowtham "/>
    <x v="14"/>
    <n v="6000"/>
    <s v="01 57 87 02 67"/>
    <s v="gowtham.sivakumar@ca-cib.com"/>
    <x v="2"/>
    <m/>
  </r>
  <r>
    <s v="CACEIS"/>
    <s v="SCAGNI"/>
    <s v="Fabrice"/>
    <x v="15"/>
    <n v="2500"/>
    <s v="01 57 78 04 65"/>
    <s v="fabrice.scagni@caceis.com"/>
    <x v="0"/>
    <m/>
  </r>
  <r>
    <m/>
    <s v="REN"/>
    <s v="YI"/>
    <x v="16"/>
    <n v="2000"/>
    <s v="01 57 78 08 38"/>
    <s v="yi.ren@caceis.com"/>
    <x v="2"/>
    <m/>
  </r>
  <r>
    <m/>
    <s v="ADERIC"/>
    <s v="Gilles"/>
    <x v="17"/>
    <n v="2500"/>
    <s v="06 60 96 78 37"/>
    <s v="gilles.aderic@caceis.com"/>
    <x v="2"/>
    <m/>
  </r>
  <r>
    <m/>
    <s v="BERTHELOT"/>
    <s v="Morgane"/>
    <x v="18"/>
    <n v="3500"/>
    <s v="01 57 72 02 48"/>
    <s v="morgane.berthelot@caceis.com"/>
    <x v="1"/>
    <m/>
  </r>
  <r>
    <m/>
    <s v="FORESTIER"/>
    <s v="Eric"/>
    <x v="19"/>
    <n v="4500"/>
    <s v="07 61 48 11 63"/>
    <s v="eric.forestier@caceis.com "/>
    <x v="3"/>
    <m/>
  </r>
  <r>
    <m/>
    <s v="MOUTAR"/>
    <s v="Fatima"/>
    <x v="20"/>
    <n v="5000"/>
    <s v="06 19 36 41 77"/>
    <s v="fatima.moutar@caceis.com"/>
    <x v="5"/>
    <m/>
  </r>
  <r>
    <s v="CACEIS Bank, Luxembourg Branch"/>
    <s v="Colin"/>
    <s v="Laurence "/>
    <x v="21"/>
    <n v="3500"/>
    <m/>
    <s v="laurence.colin@caceis.com"/>
    <x v="1"/>
    <m/>
  </r>
  <r>
    <m/>
    <s v=" Jullion"/>
    <s v="Gaëlle"/>
    <x v="22"/>
    <n v="3000"/>
    <m/>
    <s v="gaelle.jullion@caceis.com"/>
    <x v="1"/>
    <m/>
  </r>
  <r>
    <m/>
    <s v="Ruar"/>
    <s v="Marielle "/>
    <x v="23"/>
    <n v="2000"/>
    <m/>
    <s v="marielle.ruar@caceis.com"/>
    <x v="1"/>
    <m/>
  </r>
  <r>
    <m/>
    <s v="Ullens"/>
    <s v="Frédéric "/>
    <x v="24"/>
    <n v="2000"/>
    <m/>
    <s v="frederic.ullens@caceis.com"/>
    <x v="1"/>
    <m/>
  </r>
  <r>
    <m/>
    <s v="Abiobeida"/>
    <s v="Saadia "/>
    <x v="25"/>
    <n v="1500"/>
    <m/>
    <s v="saadia.abiobeida@caceis.com"/>
    <x v="5"/>
    <m/>
  </r>
  <r>
    <m/>
    <s v="Launay"/>
    <s v="Sandra "/>
    <x v="26"/>
    <n v="1500"/>
    <m/>
    <s v="sandra.launay@caceis.com"/>
    <x v="1"/>
    <m/>
  </r>
  <r>
    <m/>
    <s v="Kadem"/>
    <s v="Sandrine "/>
    <x v="27"/>
    <n v="1500"/>
    <m/>
    <s v="sandrine.kadem@caceis.com"/>
    <x v="5"/>
    <m/>
  </r>
  <r>
    <s v="Amundi "/>
    <s v="MOHAN"/>
    <s v="Nivetha"/>
    <x v="28"/>
    <n v="4900"/>
    <s v="06 67 54 08 08"/>
    <s v="nivetha.mohan@amundi.com"/>
    <x v="1"/>
    <m/>
  </r>
  <r>
    <m/>
    <s v="SENAWO"/>
    <s v="Jean-Jacques"/>
    <x v="29"/>
    <n v="4700"/>
    <s v="01 76 32 00 53"/>
    <s v="jean-jacques.senawo@amundi.com"/>
    <x v="5"/>
    <m/>
  </r>
  <r>
    <m/>
    <s v="IKIESSIBA"/>
    <s v="Muila"/>
    <x v="30"/>
    <n v="4500"/>
    <s v="01 76 32 36 22"/>
    <s v="muila.ikiessiba@amundi.com"/>
    <x v="5"/>
    <m/>
  </r>
  <r>
    <m/>
    <s v="FOMERY"/>
    <s v="Vincent"/>
    <x v="31"/>
    <n v="4500"/>
    <s v="01 53 15 71 33"/>
    <s v="vincent.formery@cpr-am.com"/>
    <x v="5"/>
    <m/>
  </r>
  <r>
    <m/>
    <s v="MILLON"/>
    <s v="Sophie"/>
    <x v="32"/>
    <n v="9000"/>
    <s v="01 76 36 37 22"/>
    <s v="sophie.millon@amundi.com"/>
    <x v="0"/>
    <m/>
  </r>
  <r>
    <m/>
    <s v="HADJADJ-GOMES"/>
    <s v="Noémie"/>
    <x v="33"/>
    <n v="4300"/>
    <s v="01 53 15 73 01"/>
    <s v="noemie.hadjadj-gomes@cpr-am.com"/>
    <x v="2"/>
    <m/>
  </r>
  <r>
    <m/>
    <s v="PARGADE"/>
    <s v="Sylviane"/>
    <x v="34"/>
    <n v="4300"/>
    <s v="01 76 37 84 16"/>
    <s v="sylviane.pargade@amundi.com"/>
    <x v="5"/>
    <m/>
  </r>
  <r>
    <m/>
    <s v="BOKOBZA"/>
    <s v="Dan "/>
    <x v="35"/>
    <n v="4300"/>
    <s v="06 25 68 43 02"/>
    <s v="dan.bokobza@amundi.com "/>
    <x v="0"/>
    <m/>
  </r>
  <r>
    <m/>
    <s v="EONO"/>
    <s v="Florane"/>
    <x v="36"/>
    <n v="4200"/>
    <s v="01 76 37 85 03"/>
    <s v="florane.eono@amundi.com"/>
    <x v="1"/>
    <m/>
  </r>
  <r>
    <m/>
    <s v="BARADJI"/>
    <s v="Simbala"/>
    <x v="37"/>
    <n v="4200"/>
    <s v="06 83 14 46 09"/>
    <s v="simbala.baradji@amundi.com"/>
    <x v="5"/>
    <m/>
  </r>
  <r>
    <m/>
    <s v="CHAMBRON"/>
    <s v="Cyrille"/>
    <x v="38"/>
    <n v="4100"/>
    <s v=" 06 08 60 11 69"/>
    <s v="cyrille.chambron@amundi.com "/>
    <x v="1"/>
    <m/>
  </r>
  <r>
    <m/>
    <s v="MIQUEL"/>
    <s v="Caroline"/>
    <x v="39"/>
    <n v="4000"/>
    <s v="06 76 42 16 47"/>
    <s v=" caroline.miquel@amundi.com "/>
    <x v="5"/>
    <m/>
  </r>
  <r>
    <m/>
    <s v="LAPIERRE"/>
    <s v="Guillaume"/>
    <x v="40"/>
    <n v="3800"/>
    <s v="06 71 22 73 38"/>
    <s v="guillaume.lapierre@bft-im.com "/>
    <x v="3"/>
    <m/>
  </r>
  <r>
    <m/>
    <s v="CISSE"/>
    <s v="Astou"/>
    <x v="41"/>
    <n v="3700"/>
    <s v="01 76 37 56 46"/>
    <s v="astou.cisse@amundi.com "/>
    <x v="1"/>
    <m/>
  </r>
  <r>
    <s v="CA Immobilier"/>
    <s v="MICHAUD"/>
    <s v="Evelyne"/>
    <x v="42"/>
    <n v="3500"/>
    <m/>
    <s v="evelyne.michaud@ca-immobilier.fr"/>
    <x v="0"/>
    <m/>
  </r>
  <r>
    <m/>
    <s v="FIORENTINO"/>
    <s v="Nicole"/>
    <x v="43"/>
    <n v="2400"/>
    <m/>
    <s v="nicole.fiorentino@ca-immobilier.fr"/>
    <x v="1"/>
    <m/>
  </r>
  <r>
    <m/>
    <s v="HMIMED"/>
    <s v="Amal"/>
    <x v="44"/>
    <m/>
    <m/>
    <s v="amal.hmimed@ca-immobilier.fr"/>
    <x v="6"/>
    <m/>
  </r>
  <r>
    <m/>
    <s v="BEN-YAGHLANE"/>
    <s v="Essia"/>
    <x v="44"/>
    <m/>
    <m/>
    <s v="essia.ben-yaghlane@ca-immobilier.fr"/>
    <x v="6"/>
    <m/>
  </r>
  <r>
    <m/>
    <s v="KERMAREC"/>
    <s v="François"/>
    <x v="44"/>
    <m/>
    <m/>
    <s v="francois.kermarec@ca-immobilier.fr"/>
    <x v="6"/>
    <m/>
  </r>
  <r>
    <m/>
    <s v="THOMAS"/>
    <s v="Colette"/>
    <x v="45"/>
    <n v="2400"/>
    <m/>
    <s v="colette.thomas@ca-immobilier.fr"/>
    <x v="1"/>
    <m/>
  </r>
  <r>
    <m/>
    <s v="TRUONG"/>
    <s v="Mai"/>
    <x v="46"/>
    <n v="2400"/>
    <m/>
    <s v="mai.truong@ca-immobilier.fr"/>
    <x v="5"/>
    <m/>
  </r>
  <r>
    <m/>
    <s v="de JENLIS"/>
    <s v="Olivier"/>
    <x v="47"/>
    <n v="1200"/>
    <m/>
    <s v="olivier.de jenlis@ca-immobilier.fr"/>
    <x v="1"/>
    <m/>
  </r>
  <r>
    <m/>
    <s v="MARCHAND"/>
    <s v="Marie"/>
    <x v="48"/>
    <n v="1200"/>
    <m/>
    <s v="marie.marchand@ca-immobilier.fr"/>
    <x v="2"/>
    <m/>
  </r>
  <r>
    <s v="CAA"/>
    <s v="LUCARD"/>
    <s v="Stéphane"/>
    <x v="49"/>
    <n v="3000"/>
    <s v="06 84 97 95 04"/>
    <s v="stephane.lucard@ca-pacifica.fr"/>
    <x v="0"/>
    <m/>
  </r>
  <r>
    <m/>
    <s v="N'DIAYE"/>
    <s v="Binta"/>
    <x v="50"/>
    <n v="3000"/>
    <s v="01 43 23 70 10"/>
    <s v="binta.ndiaye@ca-assurances.fr"/>
    <x v="5"/>
    <m/>
  </r>
  <r>
    <m/>
    <s v="NARANJO"/>
    <s v="Ariéglis"/>
    <x v="51"/>
    <n v="4000"/>
    <s v="01 57 72 81 35"/>
    <s v="arieglis.naranjo@ca-assurances.fr"/>
    <x v="5"/>
    <m/>
  </r>
  <r>
    <m/>
    <s v="ZAKI"/>
    <s v="Abdou"/>
    <x v="52"/>
    <n v="3000"/>
    <s v="06 67 64 94 76"/>
    <s v="abdou.zaki@ca-assurances.fr"/>
    <x v="5"/>
    <m/>
  </r>
  <r>
    <m/>
    <s v="DUREK"/>
    <s v="Orianne"/>
    <x v="53"/>
    <n v="2500"/>
    <s v="01 57 72 44 89"/>
    <s v="orianne.dudek@ca-assurances.fr"/>
    <x v="3"/>
    <m/>
  </r>
  <r>
    <m/>
    <s v="JANOT"/>
    <s v="Vincent"/>
    <x v="54"/>
    <n v="3000"/>
    <s v="01 43 23 81 43"/>
    <s v="vincent.janot@ca-assurances.fr"/>
    <x v="1"/>
    <m/>
  </r>
  <r>
    <s v="CA Vita"/>
    <s v="IMARISIO"/>
    <s v="Laura"/>
    <x v="55"/>
    <n v="2500"/>
    <s v="+39 345 2500233"/>
    <s v="laura.imarisio@ca-vita.it"/>
    <x v="0"/>
    <m/>
  </r>
  <r>
    <m/>
    <s v="BAILINI"/>
    <s v="Fabio"/>
    <x v="56"/>
    <n v="3000"/>
    <s v="+39 346 3123731"/>
    <s v="fabio.bailini@ca-vita.it"/>
    <x v="1"/>
    <m/>
  </r>
  <r>
    <s v="Abanca Seguros Generales"/>
    <s v="TORTOSA"/>
    <s v="Luis Rodriguez"/>
    <x v="57"/>
    <n v="3000"/>
    <s v="+34 609048177"/>
    <s v="lrodriguezt@abancaseguros.com"/>
    <x v="1"/>
    <m/>
  </r>
  <r>
    <s v="CA CF "/>
    <s v="SCALABRE "/>
    <s v="Ludovic"/>
    <x v="58"/>
    <n v="1000"/>
    <m/>
    <s v="lscalabre@ca-cf.fr"/>
    <x v="3"/>
    <m/>
  </r>
  <r>
    <m/>
    <s v="DE GELAS "/>
    <s v="Christophe"/>
    <x v="59"/>
    <n v="1000"/>
    <m/>
    <s v="cdegelas@ca-cf.fr"/>
    <x v="7"/>
    <m/>
  </r>
  <r>
    <m/>
    <s v="GILLOUARD"/>
    <s v="Marie"/>
    <x v="60"/>
    <n v="1000"/>
    <m/>
    <s v="mgillouard@ca-cf.fr"/>
    <x v="5"/>
    <m/>
  </r>
  <r>
    <m/>
    <s v="THEVENIN "/>
    <s v="Pascale"/>
    <x v="61"/>
    <n v="1000"/>
    <m/>
    <s v="pthevenin@ca-cf.fr"/>
    <x v="7"/>
    <m/>
  </r>
  <r>
    <m/>
    <s v="WLODY "/>
    <s v="Serge"/>
    <x v="62"/>
    <n v="1000"/>
    <m/>
    <s v="swlody@ca-cf.fr"/>
    <x v="1"/>
    <m/>
  </r>
  <r>
    <m/>
    <s v="AMEERALLY "/>
    <s v="Rabia"/>
    <x v="63"/>
    <n v="1000"/>
    <m/>
    <s v="rameerally@ca-cf.fr"/>
    <x v="1"/>
    <m/>
  </r>
  <r>
    <m/>
    <s v="BOCQUILLON "/>
    <s v="Philippe"/>
    <x v="64"/>
    <n v="6000"/>
    <m/>
    <s v="pbocquillon@ca-cf.fr"/>
    <x v="2"/>
    <m/>
  </r>
  <r>
    <m/>
    <s v="FAUCHEUX"/>
    <s v="Caroline"/>
    <x v="65"/>
    <n v="1000"/>
    <m/>
    <s v="cfaucheux@ca-cf.fr"/>
    <x v="1"/>
    <m/>
  </r>
  <r>
    <m/>
    <s v="VAILLANT I"/>
    <s v="Isabelle"/>
    <x v="66"/>
    <n v="3000"/>
    <m/>
    <s v="ivaillant@ca-cf.fr"/>
    <x v="0"/>
    <m/>
  </r>
  <r>
    <m/>
    <s v="FREYMAN "/>
    <s v="Isabelle"/>
    <x v="67"/>
    <n v="1000"/>
    <m/>
    <s v="ifreymann@ca-cf.fr"/>
    <x v="5"/>
    <m/>
  </r>
  <r>
    <m/>
    <s v="DEPRIECK "/>
    <s v="Severine"/>
    <x v="68"/>
    <n v="4000"/>
    <m/>
    <s v="sdeprieck@ca-cf.fr"/>
    <x v="0"/>
    <m/>
  </r>
  <r>
    <m/>
    <s v="BALZA "/>
    <s v="Serge Andre"/>
    <x v="69"/>
    <n v="1000"/>
    <m/>
    <s v="sebalza@ca-cf.fr"/>
    <x v="1"/>
    <m/>
  </r>
  <r>
    <m/>
    <s v="SYMOND "/>
    <s v="Bertrand"/>
    <x v="70"/>
    <n v="1000"/>
    <m/>
    <s v="bsymond@ca-cf.fr"/>
    <x v="1"/>
    <m/>
  </r>
  <r>
    <m/>
    <s v="JOLY "/>
    <s v="Ludovic"/>
    <x v="71"/>
    <n v="1000"/>
    <m/>
    <s v="ljoly@ca-cf.fr"/>
    <x v="1"/>
    <m/>
  </r>
  <r>
    <m/>
    <s v="CHAIGNE "/>
    <s v="Loic"/>
    <x v="72"/>
    <n v="1000"/>
    <m/>
    <s v="lchaigne@ca-cf.fr"/>
    <x v="1"/>
    <m/>
  </r>
  <r>
    <m/>
    <s v="PERRET"/>
    <s v="Marianne"/>
    <x v="73"/>
    <n v="1000"/>
    <m/>
    <s v="mperret@ca-cf.fr"/>
    <x v="2"/>
    <m/>
  </r>
  <r>
    <m/>
    <s v="GUICHARD "/>
    <s v="Stephanie"/>
    <x v="74"/>
    <n v="1000"/>
    <m/>
    <s v="sguichard@ca-cf.fr"/>
    <x v="1"/>
    <m/>
  </r>
  <r>
    <m/>
    <s v="JEAN "/>
    <s v="Veronique"/>
    <x v="75"/>
    <n v="1000"/>
    <m/>
    <s v="vjean@ca-cf.fr"/>
    <x v="1"/>
    <m/>
  </r>
  <r>
    <m/>
    <s v="GUERIN "/>
    <s v="Aurelie"/>
    <x v="76"/>
    <n v="1000"/>
    <m/>
    <s v="aguerin@ca-cf.fr"/>
    <x v="1"/>
    <m/>
  </r>
  <r>
    <m/>
    <s v="BOUBZIZ "/>
    <s v="Myriam"/>
    <x v="77"/>
    <n v="1000"/>
    <m/>
    <s v="mboubziz@ca-cf.fr"/>
    <x v="1"/>
    <m/>
  </r>
  <r>
    <m/>
    <s v="THELOHAN TRUCHOT C"/>
    <s v="Christel"/>
    <x v="78"/>
    <n v="1000"/>
    <m/>
    <s v="cthelohan-truchot@ca-cf.fr"/>
    <x v="1"/>
    <m/>
  </r>
  <r>
    <m/>
    <s v="JEAN "/>
    <s v="Veronique"/>
    <x v="79"/>
    <n v="1000"/>
    <m/>
    <s v="vjean@ca-cf.fr"/>
    <x v="1"/>
    <m/>
  </r>
  <r>
    <m/>
    <s v="HELLEGOUARCH"/>
    <s v="Helene"/>
    <x v="80"/>
    <n v="1000"/>
    <m/>
    <s v="hhellegouarch@ca-cf.fr"/>
    <x v="1"/>
    <m/>
  </r>
  <r>
    <m/>
    <s v="AMEERALLY "/>
    <s v="Rabia"/>
    <x v="81"/>
    <n v="1000"/>
    <m/>
    <s v="rameerally@ca-cf.fr"/>
    <x v="1"/>
    <m/>
  </r>
  <r>
    <m/>
    <s v="DECROIX "/>
    <s v="Jerôme"/>
    <x v="82"/>
    <n v="1000"/>
    <m/>
    <s v="jdecroix@ca-cf.fr"/>
    <x v="1"/>
    <m/>
  </r>
  <r>
    <s v="Crédit Agricole SA"/>
    <s v="CARON"/>
    <s v="Sophie"/>
    <x v="83"/>
    <n v="6000"/>
    <m/>
    <s v="sophie.caron@credit-agricole-sa.fr"/>
    <x v="3"/>
    <m/>
  </r>
  <r>
    <m/>
    <s v="EVSTRATOV"/>
    <s v="Leonid"/>
    <x v="84"/>
    <n v="4000"/>
    <m/>
    <s v="leonid.evstratov@credit-agricole-sa.fr"/>
    <x v="3"/>
    <m/>
  </r>
  <r>
    <m/>
    <s v="QUESTEL-SOUSA"/>
    <s v="Sylvie"/>
    <x v="85"/>
    <n v="3000"/>
    <m/>
    <s v="sylvie.questelsousa@credit-agricole-sa.fr"/>
    <x v="2"/>
    <m/>
  </r>
  <r>
    <m/>
    <s v="EL AOULI"/>
    <s v="Hafida"/>
    <x v="86"/>
    <n v="4000"/>
    <m/>
    <s v="hafida.elaouli@credit-agricole-sa.fr"/>
    <x v="5"/>
    <m/>
  </r>
  <r>
    <m/>
    <s v="GUICHANDUT"/>
    <s v="Philippe"/>
    <x v="87"/>
    <n v="2000"/>
    <m/>
    <s v="philippe.guichandut@credit-agricole-sa.fr"/>
    <x v="5"/>
    <m/>
  </r>
  <r>
    <m/>
    <s v="BA"/>
    <s v="Aissata"/>
    <x v="88"/>
    <n v="4000"/>
    <m/>
    <s v="aissata.ba@credit-agricole-sa.fr"/>
    <x v="5"/>
    <m/>
  </r>
  <r>
    <m/>
    <s v="POULNAIS"/>
    <s v="Catherine "/>
    <x v="89"/>
    <n v="2000"/>
    <m/>
    <s v="catherine.poulnais@credit-agricole-sa.fr"/>
    <x v="2"/>
    <m/>
  </r>
  <r>
    <m/>
    <s v="CHAMINAS"/>
    <s v="Cécile"/>
    <x v="90"/>
    <n v="2000"/>
    <m/>
    <s v="cecile.chaminas@credit-agricole-sa.fr"/>
    <x v="4"/>
    <m/>
  </r>
  <r>
    <m/>
    <s v="KOUAM"/>
    <s v="Michèle"/>
    <x v="91"/>
    <n v="2000"/>
    <m/>
    <s v="michele.kouam@credit-agricole-sa.fr"/>
    <x v="5"/>
    <m/>
  </r>
  <r>
    <m/>
    <s v="BOUCHER"/>
    <s v="Bernadette"/>
    <x v="92"/>
    <n v="2000"/>
    <m/>
    <s v="bernadette.boucher@credit-agricole-sa.fr"/>
    <x v="5"/>
    <m/>
  </r>
  <r>
    <m/>
    <s v="GUEDIRI"/>
    <s v="Boumedien"/>
    <x v="93"/>
    <n v="3000"/>
    <m/>
    <s v="boumedien.guediri@credit-agricole-sa.fr"/>
    <x v="3"/>
    <m/>
  </r>
  <r>
    <m/>
    <s v="EKOU GALAG"/>
    <s v="Samuel"/>
    <x v="94"/>
    <n v="4000"/>
    <m/>
    <s v="samuel.ekougalag@credit-agricole-sa.fr"/>
    <x v="5"/>
    <m/>
  </r>
  <r>
    <m/>
    <s v="MOTHIRON"/>
    <s v="Martine"/>
    <x v="95"/>
    <n v="3000"/>
    <m/>
    <s v="martine.mothiron@credit-agricole-sa.fr"/>
    <x v="1"/>
    <m/>
  </r>
  <r>
    <m/>
    <s v="TERRIEN"/>
    <s v="Sylvie"/>
    <x v="96"/>
    <n v="3000"/>
    <m/>
    <s v="sylvie.terrien@credit-agricole-sa.fr"/>
    <x v="3"/>
    <m/>
  </r>
  <r>
    <m/>
    <s v="GUEYE"/>
    <s v="Rouda"/>
    <x v="97"/>
    <n v="2000"/>
    <m/>
    <s v="rouda.gueye@credit-agricole-sa.fr"/>
    <x v="5"/>
    <m/>
  </r>
  <r>
    <s v="LCL"/>
    <s v=" Cakar"/>
    <s v="Mehtap"/>
    <x v="98"/>
    <n v="3000"/>
    <s v="01 44 41 30 07"/>
    <s v="mehtap.cakar@lcl.fr"/>
    <x v="2"/>
    <m/>
  </r>
  <r>
    <m/>
    <s v="BEICKERT "/>
    <s v="Jérôme"/>
    <x v="99"/>
    <n v="4000"/>
    <s v="04 91 59 79 08"/>
    <s v="jerome.beickert@lcl.fr"/>
    <x v="2"/>
    <m/>
  </r>
  <r>
    <m/>
    <s v="DELLAN"/>
    <s v="Karl"/>
    <x v="100"/>
    <n v="3000"/>
    <s v="01 43 13 52 50"/>
    <s v="karl.dellan@lcl.fr"/>
    <x v="1"/>
    <m/>
  </r>
  <r>
    <m/>
    <s v="BOUTRON "/>
    <s v="Marie"/>
    <x v="101"/>
    <n v="3000"/>
    <s v="01 42 95 32 40"/>
    <s v="marie.boutron@lcl.fr"/>
    <x v="1"/>
    <m/>
  </r>
  <r>
    <m/>
    <s v="BONNAT "/>
    <s v="Laurence"/>
    <x v="102"/>
    <n v="2000"/>
    <s v="01 42 95 71 79"/>
    <s v="laurence.bonnat@lcl.fr"/>
    <x v="3"/>
    <m/>
  </r>
  <r>
    <m/>
    <s v="MOUCHARD"/>
    <s v="Magali"/>
    <x v="103"/>
    <n v="2300"/>
    <s v="01 41 87 12 24"/>
    <s v="magali.mouchard@lcl.fr"/>
    <x v="2"/>
    <m/>
  </r>
  <r>
    <m/>
    <s v="DREYFUS "/>
    <s v="William"/>
    <x v="104"/>
    <n v="3300"/>
    <s v="01 55 46 41 57"/>
    <s v="william.dreyfus@lcl.fr"/>
    <x v="2"/>
    <m/>
  </r>
  <r>
    <m/>
    <s v="De FROMENT "/>
    <s v="Mathilde"/>
    <x v="105"/>
    <n v="4000"/>
    <s v="01 42 98 84 42"/>
    <s v="mathilde.de froment@lcl.fr"/>
    <x v="1"/>
    <m/>
  </r>
  <r>
    <m/>
    <s v="DEPECKER "/>
    <s v="Isabelle"/>
    <x v="106"/>
    <n v="888"/>
    <s v="03 84 93 91 24"/>
    <s v="isabelle.depecker@lcl.fr"/>
    <x v="2"/>
    <m/>
  </r>
  <r>
    <m/>
    <s v="ROCHON "/>
    <s v="Bruno"/>
    <x v="107"/>
    <n v="4000"/>
    <s v="02 38 34 59 38"/>
    <s v="bruno.rochon@lcl.fr"/>
    <x v="2"/>
    <m/>
  </r>
  <r>
    <m/>
    <s v="BERNIER "/>
    <s v="Sophie"/>
    <x v="108"/>
    <n v="3969"/>
    <s v="01 42 95 84 10"/>
    <s v="sophie.bernier@lcl.fr"/>
    <x v="1"/>
    <m/>
  </r>
  <r>
    <m/>
    <s v="DECELLE "/>
    <s v="Arthur"/>
    <x v="109"/>
    <n v="2000"/>
    <s v="01 49 23 27 35"/>
    <s v="arthur.decelle@lcl.fr"/>
    <x v="2"/>
    <m/>
  </r>
  <r>
    <m/>
    <s v="COMETTI "/>
    <s v="Isabelle"/>
    <x v="110"/>
    <n v="2600"/>
    <s v="05 61 10 29 50"/>
    <s v="isabelle.cometti@lcl.fr"/>
    <x v="1"/>
    <m/>
  </r>
  <r>
    <m/>
    <s v="HARZIC "/>
    <s v="Fabrice"/>
    <x v="111"/>
    <n v="1900"/>
    <s v="05 62 15 44 03"/>
    <s v="fabrice.harzic@lcl.fr"/>
    <x v="1"/>
    <m/>
  </r>
  <r>
    <m/>
    <s v="RIBERO"/>
    <s v="Nicolas"/>
    <x v="112"/>
    <n v="3000"/>
    <s v="01 42 95 32 21"/>
    <s v="nicolas.ribero@lcl.fr"/>
    <x v="1"/>
    <m/>
  </r>
  <r>
    <m/>
    <s v="TURCONI "/>
    <s v="Sébastien"/>
    <x v="113"/>
    <n v="4000"/>
    <s v="05 62 30 18 53"/>
    <s v="sébastien.turconi@lcl.fr"/>
    <x v="3"/>
    <m/>
  </r>
  <r>
    <m/>
    <s v="PORCHERON "/>
    <s v="Yannis"/>
    <x v="114"/>
    <n v="4000"/>
    <m/>
    <s v="yannis.porcheron@lcl.fr"/>
    <x v="2"/>
    <m/>
  </r>
  <r>
    <m/>
    <s v="LAGREE "/>
    <s v="Nathalie"/>
    <x v="115"/>
    <n v="4000"/>
    <s v="01 55 53 62 44"/>
    <s v="nathalie.lagree@lcl.fr"/>
    <x v="1"/>
    <m/>
  </r>
  <r>
    <m/>
    <s v="BUREAU "/>
    <s v="Frédéric"/>
    <x v="116"/>
    <n v="2000"/>
    <s v="02 35 52 71 63"/>
    <s v="frédéric.bureau@lcl.fr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9">
  <r>
    <s v="CACIB "/>
    <s v="CANOLLE "/>
    <s v="Naima "/>
    <x v="0"/>
    <n v="3512"/>
    <s v="01 41 89 40 15"/>
    <s v="naima.canolle@ca-cib.com"/>
    <x v="0"/>
  </r>
  <r>
    <m/>
    <s v="CANOLLE "/>
    <s v="Naima "/>
    <x v="1"/>
    <n v="1000"/>
    <s v="01 41 89 40 15"/>
    <s v="naima.canolle@ca-cib.com"/>
    <x v="1"/>
  </r>
  <r>
    <m/>
    <s v="CHAN "/>
    <s v="Catherine "/>
    <x v="2"/>
    <n v="5388"/>
    <s v="01 57 87 35 92"/>
    <s v="catherine.chan@ca-cib.com"/>
    <x v="2"/>
  </r>
  <r>
    <m/>
    <s v="CHAUVEL"/>
    <s v="Virginie"/>
    <x v="3"/>
    <n v="1800"/>
    <n v="97143761180"/>
    <s v="virginie.chauvel@ca-cib.com"/>
    <x v="1"/>
  </r>
  <r>
    <m/>
    <s v="FARJON "/>
    <s v="Anne "/>
    <x v="4"/>
    <n v="5000"/>
    <s v="01 57 87 18 52"/>
    <s v="anne.farjon@ca-cib.com"/>
    <x v="3"/>
  </r>
  <r>
    <m/>
    <s v="FABIS "/>
    <s v="Karina "/>
    <x v="5"/>
    <n v="3000"/>
    <s v="01 41 89 86 16"/>
    <s v="karina.fabis@ca-cib.com"/>
    <x v="1"/>
  </r>
  <r>
    <m/>
    <s v="HEJJAR "/>
    <s v="Bouchra "/>
    <x v="6"/>
    <n v="1000"/>
    <s v="01 57 87 26 12"/>
    <s v="bouchra.hejjar@ca-cib.com"/>
    <x v="1"/>
  </r>
  <r>
    <m/>
    <s v="JAMIAN "/>
    <s v="Sophie "/>
    <x v="7"/>
    <n v="1000"/>
    <s v="01 41 89 19 41"/>
    <s v="sophie.jamian@ca-cib.com"/>
    <x v="4"/>
  </r>
  <r>
    <m/>
    <s v="JANNOT "/>
    <s v="Loic "/>
    <x v="8"/>
    <n v="3000"/>
    <s v="01 41 89 97 76"/>
    <s v="loic.jannot@ca-cib.com"/>
    <x v="0"/>
  </r>
  <r>
    <m/>
    <s v="JEAN "/>
    <s v="Thibaut"/>
    <x v="9"/>
    <n v="3000"/>
    <s v="01 41 89 28 54"/>
    <s v="thibaut.jean@ca-cib.com"/>
    <x v="0"/>
  </r>
  <r>
    <m/>
    <s v="MALICHECQ "/>
    <s v="Maelys"/>
    <x v="10"/>
    <n v="6648"/>
    <s v="01 57 87 06 00"/>
    <s v="maelys.malichecq@ca-cib.com"/>
    <x v="5"/>
  </r>
  <r>
    <m/>
    <s v="MORIN "/>
    <s v="Laurence "/>
    <x v="11"/>
    <n v="3652"/>
    <s v="01 41 89 06 16"/>
    <s v="laurence.morin@ca-cib.com"/>
    <x v="0"/>
  </r>
  <r>
    <m/>
    <s v="NGUON"/>
    <s v="Thong "/>
    <x v="12"/>
    <n v="3000"/>
    <s v="01 41 89 12 93"/>
    <s v="thong.nguon@ca-cib.com"/>
    <x v="0"/>
  </r>
  <r>
    <m/>
    <s v="SANCHEZ "/>
    <s v="Emilie "/>
    <x v="13"/>
    <n v="3000"/>
    <s v="01 41 89 17 44"/>
    <s v="emilie.sanchez@ca-cib.com"/>
    <x v="5"/>
  </r>
  <r>
    <m/>
    <s v="SIVAKUMAR"/>
    <s v="Gowtham "/>
    <x v="14"/>
    <n v="6000"/>
    <s v="01 57 87 02 67"/>
    <s v="gowtham.sivakumar@ca-cib.com"/>
    <x v="2"/>
  </r>
  <r>
    <s v="CACEIS"/>
    <s v="SCAGNI"/>
    <s v="Fabrice"/>
    <x v="15"/>
    <n v="2500"/>
    <s v="01 57 78 04 65"/>
    <s v="fabrice.scagni@caceis.com"/>
    <x v="0"/>
  </r>
  <r>
    <m/>
    <s v="REN"/>
    <s v="YI"/>
    <x v="16"/>
    <n v="2000"/>
    <s v="01 57 78 08 38"/>
    <s v="yi.ren@caceis.com"/>
    <x v="2"/>
  </r>
  <r>
    <m/>
    <s v="ADERIC"/>
    <s v="Gilles"/>
    <x v="17"/>
    <n v="2500"/>
    <s v="06 60 96 78 37"/>
    <s v="gilles.aderic@caceis.com"/>
    <x v="2"/>
  </r>
  <r>
    <m/>
    <s v="BERTHELOT"/>
    <s v="Morgane"/>
    <x v="18"/>
    <n v="3500"/>
    <s v="01 57 72 02 48"/>
    <s v="morgane.berthelot@caceis.com"/>
    <x v="1"/>
  </r>
  <r>
    <m/>
    <s v="FORESTIER"/>
    <s v="Eric"/>
    <x v="19"/>
    <n v="4500"/>
    <s v="07 61 48 11 63"/>
    <s v="eric.forestier@caceis.com "/>
    <x v="3"/>
  </r>
  <r>
    <m/>
    <s v="MOUTAR"/>
    <s v="Fatima"/>
    <x v="20"/>
    <n v="5000"/>
    <s v="06 19 36 41 77"/>
    <s v="fatima.moutar@caceis.com"/>
    <x v="5"/>
  </r>
  <r>
    <s v="CACEIS Bank, Luxembourg Branch"/>
    <s v="Colin"/>
    <s v="Laurence "/>
    <x v="21"/>
    <n v="3500"/>
    <m/>
    <s v="laurence.colin@caceis.com"/>
    <x v="1"/>
  </r>
  <r>
    <m/>
    <s v=" Jullion"/>
    <s v="Gaëlle"/>
    <x v="22"/>
    <n v="3000"/>
    <m/>
    <s v="gaelle.jullion@caceis.com"/>
    <x v="1"/>
  </r>
  <r>
    <m/>
    <s v="Ruar"/>
    <s v="Marielle "/>
    <x v="23"/>
    <n v="2000"/>
    <m/>
    <s v="marielle.ruar@caceis.com"/>
    <x v="1"/>
  </r>
  <r>
    <m/>
    <s v="Ullens"/>
    <s v="Frédéric "/>
    <x v="24"/>
    <n v="2000"/>
    <m/>
    <s v="frederic.ullens@caceis.com"/>
    <x v="1"/>
  </r>
  <r>
    <m/>
    <s v="Abiobeida"/>
    <s v="Saadia "/>
    <x v="25"/>
    <n v="1500"/>
    <m/>
    <s v="saadia.abiobeida@caceis.com"/>
    <x v="5"/>
  </r>
  <r>
    <m/>
    <s v="Launay"/>
    <s v="Sandra "/>
    <x v="26"/>
    <n v="1500"/>
    <m/>
    <s v="sandra.launay@caceis.com"/>
    <x v="1"/>
  </r>
  <r>
    <m/>
    <s v="Kadem"/>
    <s v="Sandrine "/>
    <x v="27"/>
    <n v="1500"/>
    <m/>
    <s v="sandrine.kadem@caceis.com"/>
    <x v="5"/>
  </r>
  <r>
    <s v="Amundi "/>
    <s v="MOHAN"/>
    <s v="Nivetha"/>
    <x v="28"/>
    <n v="4900"/>
    <s v="06 67 54 08 08"/>
    <s v="nivetha.mohan@amundi.com"/>
    <x v="1"/>
  </r>
  <r>
    <m/>
    <s v="SENAWO"/>
    <s v="Jean-Jacques"/>
    <x v="29"/>
    <n v="4700"/>
    <s v="01 76 32 00 53"/>
    <s v="jean-jacques.senawo@amundi.com"/>
    <x v="5"/>
  </r>
  <r>
    <m/>
    <s v="IKIESSIBA"/>
    <s v="Muila"/>
    <x v="30"/>
    <n v="4500"/>
    <s v="01 76 32 36 22"/>
    <s v="muila.ikiessiba@amundi.com"/>
    <x v="5"/>
  </r>
  <r>
    <m/>
    <s v="FOMERY"/>
    <s v="Vincent"/>
    <x v="31"/>
    <n v="4500"/>
    <s v="01 53 15 71 33"/>
    <s v="vincent.formery@cpr-am.com"/>
    <x v="5"/>
  </r>
  <r>
    <m/>
    <s v="MILLON"/>
    <s v="Sophie"/>
    <x v="32"/>
    <n v="9000"/>
    <s v="01 76 36 37 22"/>
    <s v="sophie.millon@amundi.com"/>
    <x v="0"/>
  </r>
  <r>
    <m/>
    <s v="HADJADJ-GOMES"/>
    <s v="Noémie"/>
    <x v="33"/>
    <n v="4300"/>
    <s v="01 53 15 73 01"/>
    <s v="noemie.hadjadj-gomes@cpr-am.com"/>
    <x v="2"/>
  </r>
  <r>
    <m/>
    <s v="PARGADE"/>
    <s v="Sylviane"/>
    <x v="34"/>
    <n v="4300"/>
    <s v="01 76 37 84 16"/>
    <s v="sylviane.pargade@amundi.com"/>
    <x v="5"/>
  </r>
  <r>
    <m/>
    <s v="BOKOBZA"/>
    <s v="Dan "/>
    <x v="35"/>
    <n v="4300"/>
    <s v="06 25 68 43 02"/>
    <s v="dan.bokobza@amundi.com "/>
    <x v="0"/>
  </r>
  <r>
    <m/>
    <s v="EONO"/>
    <s v="Florane"/>
    <x v="36"/>
    <n v="4200"/>
    <s v="01 76 37 85 03"/>
    <s v="florane.eono@amundi.com"/>
    <x v="1"/>
  </r>
  <r>
    <m/>
    <s v="BARADJI"/>
    <s v="Simbala"/>
    <x v="37"/>
    <n v="4200"/>
    <s v="06 83 14 46 09"/>
    <s v="simbala.baradji@amundi.com"/>
    <x v="5"/>
  </r>
  <r>
    <m/>
    <s v="CHAMBRON"/>
    <s v="Cyrille"/>
    <x v="38"/>
    <n v="4100"/>
    <s v=" 06 08 60 11 69"/>
    <s v="cyrille.chambron@amundi.com "/>
    <x v="1"/>
  </r>
  <r>
    <m/>
    <s v="MIQUEL"/>
    <s v="Caroline"/>
    <x v="39"/>
    <n v="4000"/>
    <s v="06 76 42 16 47"/>
    <s v=" caroline.miquel@amundi.com "/>
    <x v="5"/>
  </r>
  <r>
    <m/>
    <s v="LAPIERRE"/>
    <s v="Guillaume"/>
    <x v="40"/>
    <n v="3800"/>
    <s v="06 71 22 73 38"/>
    <s v="guillaume.lapierre@bft-im.com "/>
    <x v="3"/>
  </r>
  <r>
    <m/>
    <s v="CISSE"/>
    <s v="Astou"/>
    <x v="41"/>
    <n v="3700"/>
    <s v="01 76 37 56 46"/>
    <s v="astou.cisse@amundi.com "/>
    <x v="1"/>
  </r>
  <r>
    <s v="CA Immobilier"/>
    <s v="MICHAUD"/>
    <s v="Evelyne"/>
    <x v="42"/>
    <n v="3500"/>
    <m/>
    <s v="evelyne.michaud@ca-immobilier.fr"/>
    <x v="0"/>
  </r>
  <r>
    <m/>
    <s v="FIORENTINO"/>
    <s v="Nicole"/>
    <x v="43"/>
    <n v="2400"/>
    <m/>
    <s v="nicole.fiorentino@ca-immobilier.fr"/>
    <x v="1"/>
  </r>
  <r>
    <m/>
    <s v="HMIMED"/>
    <s v="Amal"/>
    <x v="44"/>
    <m/>
    <m/>
    <s v="amal.hmimed@ca-immobilier.fr"/>
    <x v="6"/>
  </r>
  <r>
    <m/>
    <s v="BEN-YAGHLANE"/>
    <s v="Essia"/>
    <x v="44"/>
    <m/>
    <m/>
    <s v="essia.ben-yaghlane@ca-immobilier.fr"/>
    <x v="6"/>
  </r>
  <r>
    <m/>
    <s v="KERMAREC"/>
    <s v="François"/>
    <x v="44"/>
    <m/>
    <m/>
    <s v="francois.kermarec@ca-immobilier.fr"/>
    <x v="6"/>
  </r>
  <r>
    <m/>
    <s v="THOMAS"/>
    <s v="Colette"/>
    <x v="45"/>
    <n v="2400"/>
    <m/>
    <s v="colette.thomas@ca-immobilier.fr"/>
    <x v="1"/>
  </r>
  <r>
    <m/>
    <s v="TRUONG"/>
    <s v="Mai"/>
    <x v="46"/>
    <n v="2400"/>
    <m/>
    <s v="mai.truong@ca-immobilier.fr"/>
    <x v="5"/>
  </r>
  <r>
    <m/>
    <s v="de JENLIS"/>
    <s v="Olivier"/>
    <x v="47"/>
    <n v="1200"/>
    <m/>
    <s v="olivier.de jenlis@ca-immobilier.fr"/>
    <x v="1"/>
  </r>
  <r>
    <m/>
    <s v="MARCHAND"/>
    <s v="Marie"/>
    <x v="48"/>
    <n v="1200"/>
    <m/>
    <s v="marie.marchand@ca-immobilier.fr"/>
    <x v="2"/>
  </r>
  <r>
    <s v="CAA"/>
    <s v="LUCARD"/>
    <s v="Stéphane"/>
    <x v="49"/>
    <n v="3000"/>
    <s v="06 84 97 95 04"/>
    <s v="stephane.lucard@ca-pacifica.fr"/>
    <x v="0"/>
  </r>
  <r>
    <m/>
    <s v="N'DIAYE"/>
    <s v="Binta"/>
    <x v="50"/>
    <n v="3000"/>
    <s v="01 43 23 70 10"/>
    <s v="binta.ndiaye@ca-assurances.fr"/>
    <x v="5"/>
  </r>
  <r>
    <m/>
    <s v="NARANJO"/>
    <s v="Ariéglis"/>
    <x v="51"/>
    <n v="4000"/>
    <s v="01 57 72 81 35"/>
    <s v="arieglis.naranjo@ca-assurances.fr"/>
    <x v="5"/>
  </r>
  <r>
    <m/>
    <s v="ZAKI"/>
    <s v="Abdou"/>
    <x v="52"/>
    <n v="3000"/>
    <s v="06 67 64 94 76"/>
    <s v="abdou.zaki@ca-assurances.fr"/>
    <x v="5"/>
  </r>
  <r>
    <m/>
    <s v="DUREK"/>
    <s v="Orianne"/>
    <x v="53"/>
    <n v="2500"/>
    <s v="01 57 72 44 89"/>
    <s v="orianne.dudek@ca-assurances.fr"/>
    <x v="3"/>
  </r>
  <r>
    <m/>
    <s v="JANOT"/>
    <s v="Vincent"/>
    <x v="54"/>
    <n v="3000"/>
    <s v="01 43 23 81 43"/>
    <s v="vincent.janot@ca-assurances.fr"/>
    <x v="1"/>
  </r>
  <r>
    <s v="CA Vita"/>
    <s v="IMARISIO"/>
    <s v="Laura"/>
    <x v="55"/>
    <n v="2500"/>
    <s v="+39 345 2500233"/>
    <s v="laura.imarisio@ca-vita.it"/>
    <x v="0"/>
  </r>
  <r>
    <m/>
    <s v="BAILINI"/>
    <s v="Fabio"/>
    <x v="56"/>
    <n v="3000"/>
    <s v="+39 346 3123731"/>
    <s v="fabio.bailini@ca-vita.it"/>
    <x v="1"/>
  </r>
  <r>
    <s v="Abanca Seguros Generales"/>
    <s v="TORTOSA"/>
    <s v="Luis Rodriguez"/>
    <x v="57"/>
    <n v="3000"/>
    <s v="+34 609048177"/>
    <s v="lrodriguezt@abancaseguros.com"/>
    <x v="1"/>
  </r>
  <r>
    <s v="CA CF "/>
    <s v="SCALABRE "/>
    <s v="Ludovic"/>
    <x v="58"/>
    <n v="1000"/>
    <m/>
    <s v="lscalabre@ca-cf.fr"/>
    <x v="3"/>
  </r>
  <r>
    <m/>
    <s v="DE GELAS "/>
    <s v="Christophe"/>
    <x v="59"/>
    <n v="1000"/>
    <m/>
    <s v="cdegelas@ca-cf.fr"/>
    <x v="7"/>
  </r>
  <r>
    <m/>
    <s v="GILLOUARD"/>
    <s v="Marie"/>
    <x v="60"/>
    <n v="1000"/>
    <m/>
    <s v="mgillouard@ca-cf.fr"/>
    <x v="5"/>
  </r>
  <r>
    <m/>
    <s v="THEVENIN "/>
    <s v="Pascale"/>
    <x v="61"/>
    <n v="1000"/>
    <m/>
    <s v="pthevenin@ca-cf.fr"/>
    <x v="7"/>
  </r>
  <r>
    <m/>
    <s v="WLODY "/>
    <s v="Serge"/>
    <x v="62"/>
    <n v="1000"/>
    <m/>
    <s v="swlody@ca-cf.fr"/>
    <x v="1"/>
  </r>
  <r>
    <m/>
    <s v="AMEERALLY "/>
    <s v="Rabia"/>
    <x v="63"/>
    <n v="1000"/>
    <m/>
    <s v="rameerally@ca-cf.fr"/>
    <x v="1"/>
  </r>
  <r>
    <m/>
    <s v="BOCQUILLON "/>
    <s v="Philippe"/>
    <x v="64"/>
    <n v="6000"/>
    <m/>
    <s v="pbocquillon@ca-cf.fr"/>
    <x v="2"/>
  </r>
  <r>
    <m/>
    <s v="FAUCHEUX"/>
    <s v="Caroline"/>
    <x v="65"/>
    <n v="1000"/>
    <m/>
    <s v="cfaucheux@ca-cf.fr"/>
    <x v="1"/>
  </r>
  <r>
    <m/>
    <s v="VAILLANT I"/>
    <s v="Isabelle"/>
    <x v="66"/>
    <n v="3000"/>
    <m/>
    <s v="ivaillant@ca-cf.fr"/>
    <x v="0"/>
  </r>
  <r>
    <m/>
    <s v="FREYMAN "/>
    <s v="Isabelle"/>
    <x v="67"/>
    <n v="1000"/>
    <m/>
    <s v="ifreymann@ca-cf.fr"/>
    <x v="5"/>
  </r>
  <r>
    <m/>
    <s v="DEPRIECK "/>
    <s v="Severine"/>
    <x v="68"/>
    <n v="4000"/>
    <m/>
    <s v="sdeprieck@ca-cf.fr"/>
    <x v="0"/>
  </r>
  <r>
    <m/>
    <s v="BALZA "/>
    <s v="Serge Andre"/>
    <x v="69"/>
    <n v="1000"/>
    <m/>
    <s v="sebalza@ca-cf.fr"/>
    <x v="1"/>
  </r>
  <r>
    <m/>
    <s v="SYMOND "/>
    <s v="Bertrand"/>
    <x v="70"/>
    <n v="1000"/>
    <m/>
    <s v="bsymond@ca-cf.fr"/>
    <x v="1"/>
  </r>
  <r>
    <m/>
    <s v="JOLY "/>
    <s v="Ludovic"/>
    <x v="71"/>
    <n v="1000"/>
    <m/>
    <s v="ljoly@ca-cf.fr"/>
    <x v="1"/>
  </r>
  <r>
    <m/>
    <s v="CHAIGNE "/>
    <s v="Loic"/>
    <x v="72"/>
    <n v="1000"/>
    <m/>
    <s v="lchaigne@ca-cf.fr"/>
    <x v="1"/>
  </r>
  <r>
    <m/>
    <s v="PERRET"/>
    <s v="Marianne"/>
    <x v="73"/>
    <n v="1000"/>
    <m/>
    <s v="mperret@ca-cf.fr"/>
    <x v="2"/>
  </r>
  <r>
    <m/>
    <s v="GUICHARD "/>
    <s v="Stephanie"/>
    <x v="74"/>
    <n v="1000"/>
    <m/>
    <s v="sguichard@ca-cf.fr"/>
    <x v="1"/>
  </r>
  <r>
    <m/>
    <s v="JEAN "/>
    <s v="Veronique"/>
    <x v="75"/>
    <n v="1000"/>
    <m/>
    <s v="vjean@ca-cf.fr"/>
    <x v="1"/>
  </r>
  <r>
    <m/>
    <s v="GUERIN "/>
    <s v="Aurelie"/>
    <x v="76"/>
    <n v="1000"/>
    <m/>
    <s v="aguerin@ca-cf.fr"/>
    <x v="1"/>
  </r>
  <r>
    <m/>
    <s v="BOUBZIZ "/>
    <s v="Myriam"/>
    <x v="77"/>
    <n v="1000"/>
    <m/>
    <s v="mboubziz@ca-cf.fr"/>
    <x v="1"/>
  </r>
  <r>
    <m/>
    <s v="THELOHAN TRUCHOT C"/>
    <s v="Christel"/>
    <x v="78"/>
    <n v="1000"/>
    <m/>
    <s v="cthelohan-truchot@ca-cf.fr"/>
    <x v="1"/>
  </r>
  <r>
    <m/>
    <s v="JEAN "/>
    <s v="Veronique"/>
    <x v="79"/>
    <n v="1000"/>
    <m/>
    <s v="vjean@ca-cf.fr"/>
    <x v="1"/>
  </r>
  <r>
    <m/>
    <s v="HELLEGOUARCH"/>
    <s v="Helene"/>
    <x v="80"/>
    <n v="1000"/>
    <m/>
    <s v="hhellegouarch@ca-cf.fr"/>
    <x v="1"/>
  </r>
  <r>
    <m/>
    <s v="AMEERALLY "/>
    <s v="Rabia"/>
    <x v="81"/>
    <n v="1000"/>
    <m/>
    <s v="rameerally@ca-cf.fr"/>
    <x v="1"/>
  </r>
  <r>
    <m/>
    <s v="DECROIX "/>
    <s v="Jerôme"/>
    <x v="82"/>
    <n v="1000"/>
    <m/>
    <s v="jdecroix@ca-cf.fr"/>
    <x v="1"/>
  </r>
  <r>
    <s v="Crédit Agricole SA"/>
    <s v="CARON"/>
    <s v="Sophie"/>
    <x v="83"/>
    <n v="6000"/>
    <m/>
    <s v="sophie.caron@credit-agricole-sa.fr"/>
    <x v="3"/>
  </r>
  <r>
    <m/>
    <s v="EVSTRATOV"/>
    <s v="Leonid"/>
    <x v="84"/>
    <n v="4000"/>
    <m/>
    <s v="leonid.evstratov@credit-agricole-sa.fr"/>
    <x v="3"/>
  </r>
  <r>
    <m/>
    <s v="QUESTEL-SOUSA"/>
    <s v="Sylvie"/>
    <x v="85"/>
    <n v="3000"/>
    <m/>
    <s v="sylvie.questelsousa@credit-agricole-sa.fr"/>
    <x v="2"/>
  </r>
  <r>
    <m/>
    <s v="EL AOULI"/>
    <s v="Hafida"/>
    <x v="86"/>
    <n v="4000"/>
    <m/>
    <s v="hafida.elaouli@credit-agricole-sa.fr"/>
    <x v="5"/>
  </r>
  <r>
    <m/>
    <s v="GUICHANDUT"/>
    <s v="Philippe"/>
    <x v="87"/>
    <n v="2000"/>
    <m/>
    <s v="philippe.guichandut@credit-agricole-sa.fr"/>
    <x v="5"/>
  </r>
  <r>
    <m/>
    <s v="BA"/>
    <s v="Aissata"/>
    <x v="88"/>
    <n v="4000"/>
    <m/>
    <s v="aissata.ba@credit-agricole-sa.fr"/>
    <x v="5"/>
  </r>
  <r>
    <m/>
    <s v="POULNAIS"/>
    <s v="Catherine "/>
    <x v="89"/>
    <n v="2000"/>
    <m/>
    <s v="catherine.poulnais@credit-agricole-sa.fr"/>
    <x v="2"/>
  </r>
  <r>
    <m/>
    <s v="CHAMINAS"/>
    <s v="Cécile"/>
    <x v="90"/>
    <n v="2000"/>
    <m/>
    <s v="cecile.chaminas@credit-agricole-sa.fr"/>
    <x v="4"/>
  </r>
  <r>
    <m/>
    <s v="KOUAM"/>
    <s v="Michèle"/>
    <x v="91"/>
    <n v="2000"/>
    <m/>
    <s v="michele.kouam@credit-agricole-sa.fr"/>
    <x v="5"/>
  </r>
  <r>
    <m/>
    <s v="BOUCHER"/>
    <s v="Bernadette"/>
    <x v="92"/>
    <n v="2000"/>
    <m/>
    <s v="bernadette.boucher@credit-agricole-sa.fr"/>
    <x v="5"/>
  </r>
  <r>
    <m/>
    <s v="GUEDIRI"/>
    <s v="Boumedien"/>
    <x v="93"/>
    <n v="3000"/>
    <m/>
    <s v="boumedien.guediri@credit-agricole-sa.fr"/>
    <x v="3"/>
  </r>
  <r>
    <m/>
    <s v="EKOU GALAG"/>
    <s v="Samuel"/>
    <x v="94"/>
    <n v="4000"/>
    <m/>
    <s v="samuel.ekougalag@credit-agricole-sa.fr"/>
    <x v="5"/>
  </r>
  <r>
    <m/>
    <s v="MOTHIRON"/>
    <s v="Martine"/>
    <x v="95"/>
    <n v="3000"/>
    <m/>
    <s v="martine.mothiron@credit-agricole-sa.fr"/>
    <x v="1"/>
  </r>
  <r>
    <m/>
    <s v="TERRIEN"/>
    <s v="Sylvie"/>
    <x v="96"/>
    <n v="3000"/>
    <m/>
    <s v="sylvie.terrien@credit-agricole-sa.fr"/>
    <x v="3"/>
  </r>
  <r>
    <m/>
    <s v="GUEYE"/>
    <s v="Rouda"/>
    <x v="97"/>
    <n v="2000"/>
    <m/>
    <s v="rouda.gueye@credit-agricole-sa.fr"/>
    <x v="5"/>
  </r>
  <r>
    <s v="LCL"/>
    <s v=" Cakar"/>
    <s v="Mehtap"/>
    <x v="98"/>
    <n v="3000"/>
    <s v="01 44 41 30 07"/>
    <s v="mehtap.cakar@lcl.fr"/>
    <x v="2"/>
  </r>
  <r>
    <m/>
    <s v="BEICKERT "/>
    <s v="Jérôme"/>
    <x v="99"/>
    <n v="4000"/>
    <s v="04 91 59 79 08"/>
    <s v="jerome.beickert@lcl.fr"/>
    <x v="2"/>
  </r>
  <r>
    <m/>
    <s v="DELLAN"/>
    <s v="Karl"/>
    <x v="100"/>
    <n v="3000"/>
    <s v="01 43 13 52 50"/>
    <s v="karl.dellan@lcl.fr"/>
    <x v="1"/>
  </r>
  <r>
    <m/>
    <s v="BOUTRON "/>
    <s v="Marie"/>
    <x v="101"/>
    <n v="3000"/>
    <s v="01 42 95 32 40"/>
    <s v="marie.boutron@lcl.fr"/>
    <x v="1"/>
  </r>
  <r>
    <m/>
    <s v="BONNAT "/>
    <s v="Laurence"/>
    <x v="102"/>
    <n v="2000"/>
    <s v="01 42 95 71 79"/>
    <s v="laurence.bonnat@lcl.fr"/>
    <x v="3"/>
  </r>
  <r>
    <m/>
    <s v="MOUCHARD"/>
    <s v="Magali"/>
    <x v="103"/>
    <n v="2300"/>
    <s v="01 41 87 12 24"/>
    <s v="magali.mouchard@lcl.fr"/>
    <x v="2"/>
  </r>
  <r>
    <m/>
    <s v="DREYFUS "/>
    <s v="William"/>
    <x v="104"/>
    <n v="3300"/>
    <s v="01 55 46 41 57"/>
    <s v="william.dreyfus@lcl.fr"/>
    <x v="2"/>
  </r>
  <r>
    <m/>
    <s v="De FROMENT "/>
    <s v="Mathilde"/>
    <x v="105"/>
    <n v="4000"/>
    <s v="01 42 98 84 42"/>
    <s v="mathilde.de froment@lcl.fr"/>
    <x v="1"/>
  </r>
  <r>
    <m/>
    <s v="DEPECKER "/>
    <s v="Isabelle"/>
    <x v="106"/>
    <n v="888"/>
    <s v="03 84 93 91 24"/>
    <s v="isabelle.depecker@lcl.fr"/>
    <x v="2"/>
  </r>
  <r>
    <m/>
    <s v="ROCHON "/>
    <s v="Bruno"/>
    <x v="107"/>
    <n v="4000"/>
    <s v="02 38 34 59 38"/>
    <s v="bruno.rochon@lcl.fr"/>
    <x v="2"/>
  </r>
  <r>
    <m/>
    <s v="BERNIER "/>
    <s v="Sophie"/>
    <x v="108"/>
    <n v="3969"/>
    <s v="01 42 95 84 10"/>
    <s v="sophie.bernier@lcl.fr"/>
    <x v="1"/>
  </r>
  <r>
    <m/>
    <s v="DECELLE "/>
    <s v="Arthur"/>
    <x v="109"/>
    <n v="2000"/>
    <s v="01 49 23 27 35"/>
    <s v="arthur.decelle@lcl.fr"/>
    <x v="2"/>
  </r>
  <r>
    <m/>
    <s v="COMETTI "/>
    <s v="Isabelle"/>
    <x v="110"/>
    <n v="2600"/>
    <s v="05 61 10 29 50"/>
    <s v="isabelle.cometti@lcl.fr"/>
    <x v="1"/>
  </r>
  <r>
    <m/>
    <s v="HARZIC "/>
    <s v="Fabrice"/>
    <x v="111"/>
    <n v="1900"/>
    <s v="05 62 15 44 03"/>
    <s v="fabrice.harzic@lcl.fr"/>
    <x v="1"/>
  </r>
  <r>
    <m/>
    <s v="RIBERO"/>
    <s v="Nicolas"/>
    <x v="112"/>
    <n v="3000"/>
    <s v="01 42 95 32 21"/>
    <s v="nicolas.ribero@lcl.fr"/>
    <x v="1"/>
  </r>
  <r>
    <m/>
    <s v="TURCONI "/>
    <s v="Sébastien"/>
    <x v="113"/>
    <n v="4000"/>
    <s v="05 62 30 18 53"/>
    <s v="sébastien.turconi@lcl.fr"/>
    <x v="3"/>
  </r>
  <r>
    <m/>
    <s v="PORCHERON "/>
    <s v="Yannis"/>
    <x v="114"/>
    <n v="4000"/>
    <m/>
    <s v="yannis.porcheron@lcl.fr"/>
    <x v="2"/>
  </r>
  <r>
    <m/>
    <s v="LAGREE "/>
    <s v="Nathalie"/>
    <x v="115"/>
    <n v="4000"/>
    <s v="01 55 53 62 44"/>
    <s v="nathalie.lagree@lcl.fr"/>
    <x v="1"/>
  </r>
  <r>
    <m/>
    <s v="BUREAU "/>
    <s v="Frédéric"/>
    <x v="116"/>
    <n v="2000"/>
    <s v="02 35 52 71 63"/>
    <s v="frédéric.bureau@lcl.fr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eau croisé dynamique3" cacheId="219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6">
  <location ref="B16:C24" firstHeaderRow="1" firstDataRow="1" firstDataCol="1"/>
  <pivotFields count="8">
    <pivotField showAll="0"/>
    <pivotField showAll="0"/>
    <pivotField showAll="0"/>
    <pivotField dataField="1" showAll="0">
      <items count="118">
        <item x="20"/>
        <item x="21"/>
        <item x="22"/>
        <item x="69"/>
        <item x="89"/>
        <item x="98"/>
        <item x="36"/>
        <item x="88"/>
        <item x="0"/>
        <item x="5"/>
        <item x="92"/>
        <item x="73"/>
        <item x="77"/>
        <item x="80"/>
        <item x="9"/>
        <item x="107"/>
        <item x="52"/>
        <item x="51"/>
        <item x="57"/>
        <item x="15"/>
        <item x="37"/>
        <item x="50"/>
        <item x="54"/>
        <item x="49"/>
        <item x="53"/>
        <item x="78"/>
        <item x="55"/>
        <item x="56"/>
        <item x="99"/>
        <item x="29"/>
        <item x="12"/>
        <item x="60"/>
        <item x="33"/>
        <item x="7"/>
        <item x="100"/>
        <item x="101"/>
        <item x="79"/>
        <item x="16"/>
        <item x="116"/>
        <item x="64"/>
        <item x="93"/>
        <item x="17"/>
        <item x="63"/>
        <item x="10"/>
        <item x="91"/>
        <item x="48"/>
        <item x="94"/>
        <item x="66"/>
        <item x="40"/>
        <item x="46"/>
        <item x="85"/>
        <item x="24"/>
        <item x="6"/>
        <item x="4"/>
        <item x="95"/>
        <item x="114"/>
        <item x="102"/>
        <item x="103"/>
        <item x="2"/>
        <item x="109"/>
        <item x="32"/>
        <item x="1"/>
        <item x="84"/>
        <item x="18"/>
        <item x="115"/>
        <item x="75"/>
        <item x="81"/>
        <item x="27"/>
        <item x="14"/>
        <item x="41"/>
        <item x="74"/>
        <item x="43"/>
        <item x="23"/>
        <item x="59"/>
        <item x="62"/>
        <item x="38"/>
        <item x="113"/>
        <item x="26"/>
        <item x="47"/>
        <item x="90"/>
        <item x="105"/>
        <item x="25"/>
        <item x="104"/>
        <item x="106"/>
        <item x="19"/>
        <item x="96"/>
        <item x="11"/>
        <item x="67"/>
        <item x="71"/>
        <item x="61"/>
        <item x="97"/>
        <item x="70"/>
        <item x="34"/>
        <item x="31"/>
        <item x="87"/>
        <item x="76"/>
        <item x="65"/>
        <item x="86"/>
        <item x="82"/>
        <item x="108"/>
        <item x="111"/>
        <item x="30"/>
        <item x="45"/>
        <item x="83"/>
        <item x="58"/>
        <item x="13"/>
        <item x="110"/>
        <item x="42"/>
        <item x="35"/>
        <item x="112"/>
        <item x="28"/>
        <item x="8"/>
        <item x="68"/>
        <item x="3"/>
        <item x="72"/>
        <item x="39"/>
        <item x="44"/>
        <item t="default"/>
      </items>
    </pivotField>
    <pivotField showAll="0"/>
    <pivotField showAll="0"/>
    <pivotField showAll="0"/>
    <pivotField axis="axisRow" showAll="0">
      <items count="9">
        <item x="4"/>
        <item x="2"/>
        <item x="7"/>
        <item x="3"/>
        <item x="0"/>
        <item x="1"/>
        <item x="5"/>
        <item h="1" x="6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Nom de l'association" fld="3" subtotal="count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2" cacheId="21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C11" firstHeaderRow="0" firstDataRow="1" firstDataCol="1"/>
  <pivotFields count="9">
    <pivotField showAll="0"/>
    <pivotField showAll="0"/>
    <pivotField showAll="0"/>
    <pivotField axis="axisRow" dataField="1" showAll="0">
      <items count="119">
        <item x="20"/>
        <item x="21"/>
        <item x="22"/>
        <item x="69"/>
        <item x="89"/>
        <item x="98"/>
        <item x="36"/>
        <item x="88"/>
        <item x="0"/>
        <item x="5"/>
        <item x="92"/>
        <item x="73"/>
        <item x="77"/>
        <item x="80"/>
        <item x="9"/>
        <item x="107"/>
        <item x="52"/>
        <item x="51"/>
        <item x="57"/>
        <item x="15"/>
        <item x="37"/>
        <item x="50"/>
        <item x="54"/>
        <item x="49"/>
        <item x="53"/>
        <item x="78"/>
        <item x="55"/>
        <item x="56"/>
        <item x="99"/>
        <item x="29"/>
        <item x="12"/>
        <item x="60"/>
        <item m="1" x="117"/>
        <item x="7"/>
        <item x="100"/>
        <item x="101"/>
        <item x="79"/>
        <item x="16"/>
        <item x="116"/>
        <item x="64"/>
        <item x="93"/>
        <item x="17"/>
        <item x="63"/>
        <item x="10"/>
        <item x="91"/>
        <item x="48"/>
        <item x="94"/>
        <item x="66"/>
        <item x="40"/>
        <item x="46"/>
        <item x="85"/>
        <item x="24"/>
        <item x="6"/>
        <item x="4"/>
        <item x="95"/>
        <item x="114"/>
        <item x="102"/>
        <item x="103"/>
        <item x="2"/>
        <item x="109"/>
        <item x="32"/>
        <item x="1"/>
        <item x="84"/>
        <item x="18"/>
        <item x="115"/>
        <item x="75"/>
        <item x="81"/>
        <item x="27"/>
        <item x="14"/>
        <item x="41"/>
        <item x="74"/>
        <item x="43"/>
        <item x="23"/>
        <item x="59"/>
        <item x="62"/>
        <item x="38"/>
        <item x="113"/>
        <item x="26"/>
        <item x="47"/>
        <item x="90"/>
        <item x="105"/>
        <item x="25"/>
        <item x="104"/>
        <item x="106"/>
        <item x="19"/>
        <item x="96"/>
        <item x="11"/>
        <item x="67"/>
        <item x="71"/>
        <item x="61"/>
        <item x="97"/>
        <item x="70"/>
        <item x="34"/>
        <item x="31"/>
        <item x="87"/>
        <item x="76"/>
        <item x="65"/>
        <item x="86"/>
        <item x="82"/>
        <item x="108"/>
        <item x="111"/>
        <item x="30"/>
        <item x="45"/>
        <item x="83"/>
        <item x="58"/>
        <item x="13"/>
        <item x="110"/>
        <item x="42"/>
        <item x="35"/>
        <item x="112"/>
        <item x="28"/>
        <item x="8"/>
        <item x="68"/>
        <item x="3"/>
        <item x="72"/>
        <item x="39"/>
        <item x="44"/>
        <item x="33"/>
        <item t="default"/>
      </items>
    </pivotField>
    <pivotField dataField="1" showAll="0"/>
    <pivotField showAll="0"/>
    <pivotField showAll="0"/>
    <pivotField axis="axisRow" multipleItemSelectionAllowed="1" showAll="0">
      <items count="16">
        <item m="1" x="14"/>
        <item sd="0" x="4"/>
        <item sd="0" x="2"/>
        <item m="1" x="10"/>
        <item m="1" x="12"/>
        <item sd="0" x="3"/>
        <item m="1" x="8"/>
        <item sd="0" x="0"/>
        <item sd="0" x="1"/>
        <item sd="0" x="5"/>
        <item m="1" x="9"/>
        <item h="1" x="6"/>
        <item m="1" x="11"/>
        <item m="1" x="13"/>
        <item sd="0" x="7"/>
        <item t="default"/>
      </items>
    </pivotField>
    <pivotField showAll="0"/>
  </pivotFields>
  <rowFields count="2">
    <field x="7"/>
    <field x="3"/>
  </rowFields>
  <rowItems count="8">
    <i>
      <x v="1"/>
    </i>
    <i>
      <x v="2"/>
    </i>
    <i>
      <x v="5"/>
    </i>
    <i>
      <x v="7"/>
    </i>
    <i>
      <x v="8"/>
    </i>
    <i>
      <x v="9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 alloué" fld="4" baseField="3" baseItem="0" numFmtId="164"/>
    <dataField name="Nombre de Nom de l'association" fld="3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workbookViewId="0">
      <selection activeCell="K11" sqref="K11"/>
    </sheetView>
  </sheetViews>
  <sheetFormatPr defaultColWidth="11.42578125" defaultRowHeight="15" x14ac:dyDescent="0.25"/>
  <cols>
    <col min="1" max="1" width="11.28515625" style="1"/>
    <col min="2" max="2" width="20" customWidth="1"/>
    <col min="3" max="3" width="5.7109375" hidden="1" customWidth="1"/>
    <col min="4" max="4" width="15.28515625" hidden="1" customWidth="1"/>
    <col min="5" max="5" width="12.7109375" hidden="1" customWidth="1"/>
    <col min="7" max="7" width="28.5703125" bestFit="1" customWidth="1"/>
  </cols>
  <sheetData>
    <row r="1" spans="1:37" x14ac:dyDescent="0.25">
      <c r="A1" s="101" t="s">
        <v>17</v>
      </c>
      <c r="B1" s="101"/>
      <c r="C1" s="101"/>
    </row>
    <row r="2" spans="1:37" x14ac:dyDescent="0.25">
      <c r="A2" s="2"/>
      <c r="B2" s="2"/>
    </row>
    <row r="3" spans="1:37" s="3" customFormat="1" ht="47.25" x14ac:dyDescent="0.25">
      <c r="A3" s="4" t="s">
        <v>0</v>
      </c>
      <c r="B3" s="4" t="s">
        <v>13</v>
      </c>
      <c r="C3" s="12" t="s">
        <v>1</v>
      </c>
      <c r="D3" s="12" t="s">
        <v>2</v>
      </c>
      <c r="E3" s="13" t="s">
        <v>3</v>
      </c>
      <c r="F3" s="5" t="s">
        <v>14</v>
      </c>
      <c r="G3" s="5" t="s">
        <v>12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ht="32.1" customHeight="1" x14ac:dyDescent="0.25">
      <c r="A4" s="11" t="s">
        <v>4</v>
      </c>
      <c r="B4" s="6"/>
      <c r="C4" s="7" t="s">
        <v>18</v>
      </c>
      <c r="D4" s="18" t="s">
        <v>19</v>
      </c>
      <c r="E4" s="8"/>
      <c r="F4" s="20">
        <v>13</v>
      </c>
      <c r="G4" s="16">
        <v>30000</v>
      </c>
    </row>
    <row r="5" spans="1:37" x14ac:dyDescent="0.25">
      <c r="A5" s="11" t="s">
        <v>5</v>
      </c>
      <c r="B5" s="6"/>
      <c r="C5" s="7" t="s">
        <v>18</v>
      </c>
      <c r="D5" s="14" t="s">
        <v>18</v>
      </c>
      <c r="E5" s="8"/>
      <c r="F5" s="14">
        <v>20</v>
      </c>
      <c r="G5" s="16">
        <v>51000</v>
      </c>
    </row>
    <row r="6" spans="1:37" x14ac:dyDescent="0.25">
      <c r="A6" s="11" t="s">
        <v>6</v>
      </c>
      <c r="B6" s="9"/>
      <c r="C6" s="10" t="s">
        <v>18</v>
      </c>
      <c r="D6" s="14"/>
      <c r="E6" s="8"/>
      <c r="F6" s="21">
        <v>28</v>
      </c>
      <c r="G6" s="22">
        <v>51500</v>
      </c>
    </row>
    <row r="7" spans="1:37" x14ac:dyDescent="0.25">
      <c r="A7" s="11" t="s">
        <v>7</v>
      </c>
      <c r="B7" s="6"/>
      <c r="C7" s="7" t="s">
        <v>18</v>
      </c>
      <c r="D7" s="14" t="s">
        <v>25</v>
      </c>
      <c r="E7" s="14" t="s">
        <v>26</v>
      </c>
      <c r="F7" s="14">
        <v>12</v>
      </c>
      <c r="G7" s="27">
        <v>20000</v>
      </c>
    </row>
    <row r="8" spans="1:37" x14ac:dyDescent="0.25">
      <c r="A8" s="11" t="s">
        <v>8</v>
      </c>
      <c r="B8" s="6"/>
      <c r="C8" s="7" t="s">
        <v>18</v>
      </c>
      <c r="D8" s="14" t="s">
        <v>18</v>
      </c>
      <c r="E8" s="8"/>
      <c r="F8" s="14">
        <v>19</v>
      </c>
      <c r="G8" s="16">
        <v>60000</v>
      </c>
    </row>
    <row r="9" spans="1:37" x14ac:dyDescent="0.25">
      <c r="A9" s="11" t="s">
        <v>9</v>
      </c>
      <c r="B9" s="6" t="s">
        <v>27</v>
      </c>
      <c r="C9" s="7" t="s">
        <v>18</v>
      </c>
      <c r="D9" s="14" t="s">
        <v>18</v>
      </c>
      <c r="E9" s="8"/>
      <c r="F9" s="14">
        <v>14</v>
      </c>
      <c r="G9" s="16">
        <v>45000</v>
      </c>
    </row>
    <row r="10" spans="1:37" x14ac:dyDescent="0.25">
      <c r="A10" s="11" t="s">
        <v>10</v>
      </c>
      <c r="B10" s="6"/>
      <c r="C10" s="7" t="s">
        <v>18</v>
      </c>
      <c r="D10" s="14"/>
      <c r="E10" s="8"/>
      <c r="F10" s="21">
        <v>4</v>
      </c>
      <c r="G10" s="16">
        <v>6600</v>
      </c>
    </row>
    <row r="11" spans="1:37" s="25" customFormat="1" x14ac:dyDescent="0.25">
      <c r="A11" s="28" t="s">
        <v>28</v>
      </c>
      <c r="B11" s="28"/>
      <c r="C11" s="29"/>
      <c r="D11" s="30"/>
      <c r="E11" s="31"/>
      <c r="F11" s="32">
        <v>0</v>
      </c>
      <c r="G11" s="33">
        <v>0</v>
      </c>
    </row>
    <row r="12" spans="1:37" ht="15.75" thickBot="1" x14ac:dyDescent="0.3">
      <c r="A12" s="28" t="s">
        <v>11</v>
      </c>
      <c r="B12" s="34"/>
      <c r="C12" s="35" t="s">
        <v>18</v>
      </c>
      <c r="D12" s="30" t="s">
        <v>20</v>
      </c>
      <c r="E12" s="31"/>
      <c r="F12" s="36"/>
      <c r="G12" s="33">
        <v>0</v>
      </c>
    </row>
    <row r="13" spans="1:37" ht="24.75" thickBot="1" x14ac:dyDescent="0.3">
      <c r="E13" s="23" t="s">
        <v>16</v>
      </c>
      <c r="F13" s="24">
        <f>SUM(F4:F12)</f>
        <v>110</v>
      </c>
      <c r="G13" s="15" t="s">
        <v>15</v>
      </c>
      <c r="H13" s="19">
        <f>SUM(G4:G12)</f>
        <v>264100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zoomScale="80" zoomScaleNormal="80" workbookViewId="0">
      <pane ySplit="1" topLeftCell="A2" activePane="bottomLeft" state="frozen"/>
      <selection pane="bottomLeft" activeCell="G2" sqref="G2:G12"/>
    </sheetView>
  </sheetViews>
  <sheetFormatPr defaultColWidth="10.85546875" defaultRowHeight="15.75" x14ac:dyDescent="0.25"/>
  <cols>
    <col min="1" max="1" width="34.85546875" style="42" customWidth="1"/>
    <col min="2" max="2" width="27.7109375" style="40" customWidth="1"/>
    <col min="3" max="3" width="15.42578125" style="40" customWidth="1"/>
    <col min="4" max="4" width="43.42578125" style="43" customWidth="1"/>
    <col min="5" max="5" width="23.28515625" style="44" customWidth="1"/>
    <col min="6" max="6" width="19.28515625" style="40" customWidth="1"/>
    <col min="7" max="7" width="40.140625" style="41" customWidth="1"/>
    <col min="8" max="8" width="35.42578125" style="40" customWidth="1"/>
    <col min="9" max="9" width="26.85546875" style="42" customWidth="1"/>
    <col min="10" max="16384" width="10.85546875" style="42"/>
  </cols>
  <sheetData>
    <row r="1" spans="1:12" s="39" customFormat="1" ht="31.5" x14ac:dyDescent="0.25">
      <c r="A1" s="63" t="s">
        <v>0</v>
      </c>
      <c r="B1" s="63" t="s">
        <v>21</v>
      </c>
      <c r="C1" s="64" t="s">
        <v>29</v>
      </c>
      <c r="D1" s="63" t="s">
        <v>22</v>
      </c>
      <c r="E1" s="65" t="s">
        <v>30</v>
      </c>
      <c r="F1" s="63" t="s">
        <v>23</v>
      </c>
      <c r="G1" s="38" t="s">
        <v>24</v>
      </c>
      <c r="H1" s="38" t="s">
        <v>38</v>
      </c>
      <c r="I1" s="102" t="s">
        <v>39</v>
      </c>
      <c r="J1" s="102"/>
      <c r="K1" s="102"/>
      <c r="L1" s="102"/>
    </row>
    <row r="2" spans="1:12" ht="21" x14ac:dyDescent="0.25">
      <c r="A2" s="98" t="s">
        <v>52</v>
      </c>
      <c r="B2" s="90" t="s">
        <v>58</v>
      </c>
      <c r="C2" s="90" t="s">
        <v>58</v>
      </c>
      <c r="D2" s="95" t="s">
        <v>45</v>
      </c>
      <c r="E2" s="99">
        <v>2000</v>
      </c>
      <c r="F2" s="71"/>
      <c r="G2" s="90" t="s">
        <v>58</v>
      </c>
      <c r="H2" s="87" t="s">
        <v>35</v>
      </c>
      <c r="I2" s="54"/>
      <c r="J2" s="54"/>
      <c r="K2" s="45"/>
    </row>
    <row r="3" spans="1:12" ht="21" x14ac:dyDescent="0.25">
      <c r="A3" s="98" t="s">
        <v>52</v>
      </c>
      <c r="B3" s="90" t="s">
        <v>58</v>
      </c>
      <c r="C3" s="90" t="s">
        <v>58</v>
      </c>
      <c r="D3" s="95" t="s">
        <v>46</v>
      </c>
      <c r="E3" s="99">
        <v>1500</v>
      </c>
      <c r="F3" s="73"/>
      <c r="G3" s="90" t="s">
        <v>58</v>
      </c>
      <c r="H3" s="55" t="s">
        <v>36</v>
      </c>
      <c r="I3" s="55"/>
      <c r="J3" s="55"/>
      <c r="K3" s="45"/>
    </row>
    <row r="4" spans="1:12" ht="21" x14ac:dyDescent="0.25">
      <c r="A4" s="98" t="s">
        <v>52</v>
      </c>
      <c r="B4" s="90" t="s">
        <v>58</v>
      </c>
      <c r="C4" s="90" t="s">
        <v>58</v>
      </c>
      <c r="D4" s="96" t="s">
        <v>47</v>
      </c>
      <c r="E4" s="99">
        <v>5000</v>
      </c>
      <c r="F4" s="73"/>
      <c r="G4" s="90" t="s">
        <v>58</v>
      </c>
      <c r="H4" s="55" t="s">
        <v>31</v>
      </c>
      <c r="I4" s="55"/>
      <c r="J4" s="55"/>
      <c r="K4" s="45"/>
    </row>
    <row r="5" spans="1:12" ht="21" x14ac:dyDescent="0.25">
      <c r="A5" s="98" t="s">
        <v>52</v>
      </c>
      <c r="B5" s="90" t="s">
        <v>58</v>
      </c>
      <c r="C5" s="90" t="s">
        <v>58</v>
      </c>
      <c r="D5" s="96" t="s">
        <v>48</v>
      </c>
      <c r="E5" s="99">
        <v>1400</v>
      </c>
      <c r="F5" s="73"/>
      <c r="G5" s="90" t="s">
        <v>58</v>
      </c>
      <c r="H5" s="55" t="s">
        <v>35</v>
      </c>
      <c r="I5" s="55"/>
      <c r="J5" s="55"/>
      <c r="K5" s="45"/>
    </row>
    <row r="6" spans="1:12" ht="21" x14ac:dyDescent="0.25">
      <c r="A6" s="98" t="s">
        <v>52</v>
      </c>
      <c r="B6" s="90" t="s">
        <v>58</v>
      </c>
      <c r="C6" s="90" t="s">
        <v>58</v>
      </c>
      <c r="D6" s="95" t="s">
        <v>49</v>
      </c>
      <c r="E6" s="99">
        <v>2500</v>
      </c>
      <c r="F6" s="8"/>
      <c r="G6" s="90" t="s">
        <v>58</v>
      </c>
      <c r="H6" s="89" t="s">
        <v>36</v>
      </c>
      <c r="I6" s="55"/>
      <c r="J6" s="55"/>
      <c r="K6" s="45"/>
    </row>
    <row r="7" spans="1:12" ht="21" x14ac:dyDescent="0.25">
      <c r="A7" s="98" t="s">
        <v>52</v>
      </c>
      <c r="B7" s="90" t="s">
        <v>58</v>
      </c>
      <c r="C7" s="90" t="s">
        <v>58</v>
      </c>
      <c r="D7" s="95" t="s">
        <v>50</v>
      </c>
      <c r="E7" s="99">
        <v>600</v>
      </c>
      <c r="F7" s="73"/>
      <c r="G7" s="90" t="s">
        <v>58</v>
      </c>
      <c r="H7" s="55" t="s">
        <v>33</v>
      </c>
      <c r="I7" s="55"/>
      <c r="J7" s="55"/>
      <c r="K7" s="45"/>
    </row>
    <row r="8" spans="1:12" ht="21" x14ac:dyDescent="0.25">
      <c r="A8" s="98" t="s">
        <v>52</v>
      </c>
      <c r="B8" s="90" t="s">
        <v>58</v>
      </c>
      <c r="C8" s="90" t="s">
        <v>58</v>
      </c>
      <c r="D8" s="97" t="s">
        <v>51</v>
      </c>
      <c r="E8" s="99">
        <v>5000</v>
      </c>
      <c r="F8" s="73"/>
      <c r="G8" s="90" t="s">
        <v>58</v>
      </c>
      <c r="H8" s="55" t="s">
        <v>34</v>
      </c>
      <c r="I8" s="55"/>
      <c r="J8" s="55"/>
      <c r="K8" s="45"/>
    </row>
    <row r="9" spans="1:12" ht="21" x14ac:dyDescent="0.25">
      <c r="A9" s="98" t="s">
        <v>53</v>
      </c>
      <c r="B9" s="90" t="s">
        <v>58</v>
      </c>
      <c r="C9" s="90" t="s">
        <v>58</v>
      </c>
      <c r="D9" s="100" t="s">
        <v>54</v>
      </c>
      <c r="E9" s="99">
        <v>5000</v>
      </c>
      <c r="F9" s="73"/>
      <c r="G9" s="90" t="s">
        <v>58</v>
      </c>
      <c r="H9" s="87" t="s">
        <v>31</v>
      </c>
      <c r="I9" s="55"/>
      <c r="J9" s="55"/>
      <c r="K9" s="45"/>
    </row>
    <row r="10" spans="1:12" ht="21" x14ac:dyDescent="0.25">
      <c r="A10" s="98" t="s">
        <v>53</v>
      </c>
      <c r="B10" s="90" t="s">
        <v>58</v>
      </c>
      <c r="C10" s="90" t="s">
        <v>58</v>
      </c>
      <c r="D10" s="54" t="s">
        <v>55</v>
      </c>
      <c r="E10" s="99">
        <v>5000</v>
      </c>
      <c r="F10" s="73"/>
      <c r="G10" s="90" t="s">
        <v>58</v>
      </c>
      <c r="H10" s="55" t="s">
        <v>35</v>
      </c>
      <c r="I10" s="55"/>
      <c r="J10" s="55"/>
      <c r="K10" s="45"/>
    </row>
    <row r="11" spans="1:12" ht="21" x14ac:dyDescent="0.25">
      <c r="A11" s="98" t="s">
        <v>53</v>
      </c>
      <c r="B11" s="90" t="s">
        <v>58</v>
      </c>
      <c r="C11" s="90" t="s">
        <v>58</v>
      </c>
      <c r="D11" s="54" t="s">
        <v>56</v>
      </c>
      <c r="E11" s="99">
        <v>2500</v>
      </c>
      <c r="F11" s="73"/>
      <c r="G11" s="90" t="s">
        <v>58</v>
      </c>
      <c r="H11" s="55" t="s">
        <v>32</v>
      </c>
      <c r="I11" s="55"/>
      <c r="J11" s="55"/>
      <c r="K11" s="45"/>
    </row>
    <row r="12" spans="1:12" ht="21" x14ac:dyDescent="0.25">
      <c r="A12" s="98" t="s">
        <v>53</v>
      </c>
      <c r="B12" s="90" t="s">
        <v>58</v>
      </c>
      <c r="C12" s="90" t="s">
        <v>58</v>
      </c>
      <c r="D12" s="54" t="s">
        <v>57</v>
      </c>
      <c r="E12" s="99">
        <v>2500</v>
      </c>
      <c r="F12" s="73"/>
      <c r="G12" s="90" t="s">
        <v>58</v>
      </c>
      <c r="H12" s="55" t="s">
        <v>34</v>
      </c>
      <c r="I12" s="55"/>
      <c r="J12" s="55"/>
      <c r="K12" s="45"/>
    </row>
    <row r="13" spans="1:12" x14ac:dyDescent="0.25">
      <c r="A13" s="86"/>
      <c r="B13" s="84"/>
      <c r="C13" s="69"/>
      <c r="D13" s="72"/>
      <c r="E13" s="70"/>
      <c r="F13" s="73"/>
      <c r="G13" s="53"/>
      <c r="H13" s="88"/>
      <c r="I13" s="55"/>
      <c r="J13" s="55"/>
      <c r="K13" s="45"/>
    </row>
    <row r="14" spans="1:12" x14ac:dyDescent="0.25">
      <c r="A14" s="86"/>
      <c r="B14" s="84"/>
      <c r="C14" s="69"/>
      <c r="D14" s="72"/>
      <c r="E14" s="70"/>
      <c r="F14" s="73"/>
      <c r="G14" s="56"/>
      <c r="H14" s="57"/>
      <c r="I14" s="57"/>
      <c r="J14" s="57"/>
      <c r="K14" s="45"/>
    </row>
    <row r="15" spans="1:12" x14ac:dyDescent="0.25">
      <c r="A15" s="86"/>
      <c r="B15" s="84"/>
      <c r="C15" s="69"/>
      <c r="D15" s="72"/>
      <c r="E15" s="70"/>
      <c r="F15" s="73"/>
      <c r="G15" s="61"/>
      <c r="H15" s="62"/>
      <c r="I15" s="53"/>
      <c r="J15" s="53"/>
      <c r="K15" s="45"/>
    </row>
    <row r="16" spans="1:12" x14ac:dyDescent="0.25">
      <c r="A16" s="86"/>
      <c r="B16" s="85"/>
      <c r="C16" s="66"/>
      <c r="D16" s="67"/>
      <c r="E16" s="68"/>
      <c r="F16" s="48"/>
      <c r="G16" s="59"/>
      <c r="H16" s="59"/>
      <c r="I16" s="60"/>
      <c r="J16" s="60"/>
    </row>
    <row r="17" spans="1:9" ht="21" x14ac:dyDescent="0.25">
      <c r="A17" s="60"/>
      <c r="E17" s="99">
        <f>SUM(E2:E16)</f>
        <v>33000</v>
      </c>
    </row>
    <row r="18" spans="1:9" x14ac:dyDescent="0.25">
      <c r="I18" s="26"/>
    </row>
    <row r="19" spans="1:9" x14ac:dyDescent="0.25">
      <c r="C19" s="47"/>
      <c r="D19" s="46"/>
      <c r="E19" s="75"/>
      <c r="F19" s="47"/>
      <c r="I19" s="26"/>
    </row>
    <row r="20" spans="1:9" x14ac:dyDescent="0.25">
      <c r="B20" s="58"/>
      <c r="C20" s="76"/>
      <c r="D20" s="77"/>
      <c r="E20" s="77"/>
      <c r="F20" s="77"/>
      <c r="G20" s="74"/>
      <c r="I20" s="26"/>
    </row>
    <row r="21" spans="1:9" x14ac:dyDescent="0.25">
      <c r="B21" s="58"/>
      <c r="C21" s="76"/>
      <c r="D21" s="77"/>
      <c r="E21" s="77"/>
      <c r="F21" s="77"/>
      <c r="G21" s="74"/>
      <c r="I21" s="26"/>
    </row>
    <row r="22" spans="1:9" x14ac:dyDescent="0.25">
      <c r="B22" s="58"/>
      <c r="C22" s="76"/>
      <c r="D22" s="77"/>
      <c r="E22" s="77"/>
      <c r="F22" s="77"/>
      <c r="G22" s="74"/>
      <c r="I22" s="26"/>
    </row>
    <row r="23" spans="1:9" ht="18.75" x14ac:dyDescent="0.25">
      <c r="A23" s="91"/>
      <c r="B23" s="58"/>
      <c r="C23" s="78"/>
      <c r="D23" s="77"/>
      <c r="E23" s="77"/>
      <c r="F23" s="77"/>
      <c r="G23" s="74"/>
      <c r="I23" s="26"/>
    </row>
    <row r="24" spans="1:9" ht="18.75" x14ac:dyDescent="0.25">
      <c r="A24" s="91"/>
      <c r="B24" s="58"/>
      <c r="C24" s="78"/>
      <c r="D24" s="77"/>
      <c r="E24" s="77"/>
      <c r="F24" s="77"/>
      <c r="G24" s="74"/>
      <c r="I24" s="26"/>
    </row>
    <row r="25" spans="1:9" ht="18.75" x14ac:dyDescent="0.25">
      <c r="A25" s="92"/>
      <c r="B25" s="58"/>
      <c r="C25" s="78"/>
      <c r="D25" s="77"/>
      <c r="E25" s="77"/>
      <c r="F25" s="77"/>
      <c r="G25" s="74"/>
    </row>
    <row r="26" spans="1:9" ht="18.75" x14ac:dyDescent="0.25">
      <c r="A26" s="92"/>
      <c r="B26" s="58"/>
      <c r="C26" s="78"/>
      <c r="D26" s="77"/>
      <c r="E26" s="77"/>
      <c r="F26" s="77"/>
      <c r="G26" s="74"/>
    </row>
    <row r="27" spans="1:9" ht="18.75" x14ac:dyDescent="0.25">
      <c r="A27" s="91"/>
      <c r="B27" s="58"/>
      <c r="C27" s="78"/>
      <c r="D27" s="77"/>
      <c r="E27" s="77"/>
      <c r="F27" s="77"/>
      <c r="G27" s="74"/>
    </row>
    <row r="28" spans="1:9" ht="18.75" x14ac:dyDescent="0.25">
      <c r="A28" s="93"/>
      <c r="B28" s="58"/>
      <c r="C28" s="78"/>
      <c r="D28" s="77"/>
      <c r="E28" s="77"/>
      <c r="F28" s="77"/>
      <c r="G28" s="74"/>
    </row>
    <row r="29" spans="1:9" ht="18.75" x14ac:dyDescent="0.25">
      <c r="A29" s="94"/>
      <c r="B29" s="58"/>
      <c r="C29" s="78"/>
      <c r="D29" s="77"/>
      <c r="E29" s="77"/>
      <c r="F29" s="77"/>
      <c r="G29" s="74"/>
    </row>
    <row r="30" spans="1:9" x14ac:dyDescent="0.25">
      <c r="B30" s="58"/>
      <c r="C30" s="79"/>
      <c r="D30" s="80"/>
      <c r="E30" s="80"/>
      <c r="F30" s="80"/>
      <c r="G30" s="74"/>
    </row>
    <row r="31" spans="1:9" x14ac:dyDescent="0.25">
      <c r="B31" s="58"/>
      <c r="C31" s="81"/>
      <c r="D31" s="82"/>
      <c r="E31" s="83"/>
      <c r="F31" s="81"/>
      <c r="G31" s="74"/>
    </row>
    <row r="32" spans="1:9" x14ac:dyDescent="0.25">
      <c r="B32" s="58"/>
      <c r="C32" s="81"/>
      <c r="D32" s="82"/>
      <c r="E32" s="83"/>
      <c r="F32" s="81"/>
      <c r="G32" s="74"/>
    </row>
    <row r="33" spans="3:6" x14ac:dyDescent="0.25">
      <c r="C33" s="48"/>
      <c r="D33" s="67"/>
      <c r="E33" s="68"/>
      <c r="F33" s="48"/>
    </row>
  </sheetData>
  <mergeCells count="1">
    <mergeCell ref="I1:L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0"/>
  <sheetViews>
    <sheetView workbookViewId="0">
      <selection activeCell="B4" sqref="B4:B10"/>
    </sheetView>
  </sheetViews>
  <sheetFormatPr defaultColWidth="11.42578125" defaultRowHeight="15" x14ac:dyDescent="0.25"/>
  <cols>
    <col min="1" max="1" width="24.42578125" customWidth="1"/>
    <col min="2" max="2" width="40.140625" customWidth="1"/>
  </cols>
  <sheetData>
    <row r="1" spans="2:2" ht="22.35" customHeight="1" x14ac:dyDescent="0.25"/>
    <row r="2" spans="2:2" ht="22.35" customHeight="1" x14ac:dyDescent="0.25"/>
    <row r="3" spans="2:2" ht="22.35" customHeight="1" x14ac:dyDescent="0.25">
      <c r="B3" s="37" t="s">
        <v>37</v>
      </c>
    </row>
    <row r="4" spans="2:2" ht="19.899999999999999" customHeight="1" x14ac:dyDescent="0.25">
      <c r="B4" s="26" t="s">
        <v>31</v>
      </c>
    </row>
    <row r="5" spans="2:2" ht="19.899999999999999" customHeight="1" x14ac:dyDescent="0.25">
      <c r="B5" s="26" t="s">
        <v>33</v>
      </c>
    </row>
    <row r="6" spans="2:2" ht="19.899999999999999" customHeight="1" x14ac:dyDescent="0.25">
      <c r="B6" s="26" t="s">
        <v>34</v>
      </c>
    </row>
    <row r="7" spans="2:2" ht="19.899999999999999" customHeight="1" x14ac:dyDescent="0.25">
      <c r="B7" s="26" t="s">
        <v>35</v>
      </c>
    </row>
    <row r="8" spans="2:2" ht="19.899999999999999" customHeight="1" x14ac:dyDescent="0.25">
      <c r="B8" s="26" t="s">
        <v>33</v>
      </c>
    </row>
    <row r="9" spans="2:2" ht="19.899999999999999" customHeight="1" x14ac:dyDescent="0.25">
      <c r="B9" s="26" t="s">
        <v>32</v>
      </c>
    </row>
    <row r="10" spans="2:2" ht="19.899999999999999" customHeight="1" x14ac:dyDescent="0.25">
      <c r="B10" s="26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24"/>
  <sheetViews>
    <sheetView workbookViewId="0">
      <selection activeCell="H40" sqref="H40"/>
    </sheetView>
  </sheetViews>
  <sheetFormatPr defaultColWidth="11.42578125" defaultRowHeight="15" x14ac:dyDescent="0.25"/>
  <cols>
    <col min="1" max="1" width="29.140625" customWidth="1"/>
    <col min="2" max="2" width="27.28515625" customWidth="1"/>
    <col min="3" max="3" width="30.28515625" bestFit="1" customWidth="1"/>
  </cols>
  <sheetData>
    <row r="3" spans="1:3" x14ac:dyDescent="0.25">
      <c r="A3" s="50" t="s">
        <v>40</v>
      </c>
      <c r="B3" s="25" t="s">
        <v>43</v>
      </c>
      <c r="C3" s="25" t="s">
        <v>41</v>
      </c>
    </row>
    <row r="4" spans="1:3" x14ac:dyDescent="0.25">
      <c r="A4" s="51" t="s">
        <v>36</v>
      </c>
      <c r="B4" s="52">
        <v>3000</v>
      </c>
      <c r="C4" s="49">
        <v>2</v>
      </c>
    </row>
    <row r="5" spans="1:3" x14ac:dyDescent="0.25">
      <c r="A5" s="51" t="s">
        <v>33</v>
      </c>
      <c r="B5" s="52">
        <v>56876</v>
      </c>
      <c r="C5" s="49">
        <v>18</v>
      </c>
    </row>
    <row r="6" spans="1:3" x14ac:dyDescent="0.25">
      <c r="A6" s="51" t="s">
        <v>32</v>
      </c>
      <c r="B6" s="52">
        <v>38800</v>
      </c>
      <c r="C6" s="49">
        <v>11</v>
      </c>
    </row>
    <row r="7" spans="1:3" x14ac:dyDescent="0.25">
      <c r="A7" s="51" t="s">
        <v>31</v>
      </c>
      <c r="B7" s="52">
        <v>47964</v>
      </c>
      <c r="C7" s="49">
        <v>13</v>
      </c>
    </row>
    <row r="8" spans="1:3" x14ac:dyDescent="0.25">
      <c r="A8" s="51" t="s">
        <v>34</v>
      </c>
      <c r="B8" s="52">
        <v>100669</v>
      </c>
      <c r="C8" s="49">
        <v>46</v>
      </c>
    </row>
    <row r="9" spans="1:3" x14ac:dyDescent="0.25">
      <c r="A9" s="51" t="s">
        <v>35</v>
      </c>
      <c r="B9" s="52">
        <v>78248</v>
      </c>
      <c r="C9" s="49">
        <v>24</v>
      </c>
    </row>
    <row r="10" spans="1:3" x14ac:dyDescent="0.25">
      <c r="A10" s="51" t="s">
        <v>44</v>
      </c>
      <c r="B10" s="52">
        <v>2000</v>
      </c>
      <c r="C10" s="49">
        <v>2</v>
      </c>
    </row>
    <row r="11" spans="1:3" x14ac:dyDescent="0.25">
      <c r="A11" s="51" t="s">
        <v>42</v>
      </c>
      <c r="B11" s="52">
        <v>327557</v>
      </c>
      <c r="C11" s="49">
        <v>116</v>
      </c>
    </row>
    <row r="16" spans="1:3" x14ac:dyDescent="0.25">
      <c r="B16" s="50" t="s">
        <v>40</v>
      </c>
      <c r="C16" t="s">
        <v>41</v>
      </c>
    </row>
    <row r="17" spans="2:3" x14ac:dyDescent="0.25">
      <c r="B17" s="51" t="s">
        <v>36</v>
      </c>
      <c r="C17" s="49">
        <v>2</v>
      </c>
    </row>
    <row r="18" spans="2:3" x14ac:dyDescent="0.25">
      <c r="B18" s="51" t="s">
        <v>33</v>
      </c>
      <c r="C18" s="49">
        <v>18</v>
      </c>
    </row>
    <row r="19" spans="2:3" x14ac:dyDescent="0.25">
      <c r="B19" s="51" t="s">
        <v>44</v>
      </c>
      <c r="C19" s="49">
        <v>2</v>
      </c>
    </row>
    <row r="20" spans="2:3" x14ac:dyDescent="0.25">
      <c r="B20" s="51" t="s">
        <v>32</v>
      </c>
      <c r="C20" s="49">
        <v>11</v>
      </c>
    </row>
    <row r="21" spans="2:3" x14ac:dyDescent="0.25">
      <c r="B21" s="51" t="s">
        <v>31</v>
      </c>
      <c r="C21" s="49">
        <v>13</v>
      </c>
    </row>
    <row r="22" spans="2:3" x14ac:dyDescent="0.25">
      <c r="B22" s="51" t="s">
        <v>34</v>
      </c>
      <c r="C22" s="49">
        <v>46</v>
      </c>
    </row>
    <row r="23" spans="2:3" x14ac:dyDescent="0.25">
      <c r="B23" s="51" t="s">
        <v>35</v>
      </c>
      <c r="C23" s="49">
        <v>24</v>
      </c>
    </row>
    <row r="24" spans="2:3" x14ac:dyDescent="0.25">
      <c r="B24" s="51" t="s">
        <v>42</v>
      </c>
      <c r="C24" s="49">
        <v>116</v>
      </c>
    </row>
  </sheetData>
  <pageMargins left="0.7" right="0.7" top="0.75" bottom="0.75" header="0.3" footer="0.3"/>
  <pageSetup paperSize="9"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Bilan groupe</vt:lpstr>
      <vt:lpstr>Lauréats</vt:lpstr>
      <vt:lpstr>Thèmes</vt:lpstr>
      <vt:lpstr>Feuil1</vt:lpstr>
    </vt:vector>
  </TitlesOfParts>
  <Company>SILCA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  VIctoria</dc:creator>
  <cp:lastModifiedBy>Ouhmidi, Hicham</cp:lastModifiedBy>
  <cp:lastPrinted>2018-11-14T10:46:21Z</cp:lastPrinted>
  <dcterms:created xsi:type="dcterms:W3CDTF">2018-10-26T09:36:32Z</dcterms:created>
  <dcterms:modified xsi:type="dcterms:W3CDTF">2026-03-19T14:10:54Z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2022-11-21T10:41:24Z</vt:lpwstr>
  </property>
  <property fmtid="{D5CDD505-2E9C-101B-9397-08002B2CF9AE}" pid="4" name="MSIP_Label_4cad6431-53ea-4466-8111-3fefa470bcb9_Method">
    <vt:lpwstr>Privileged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9b352101-ab70-4b14-9268-725cc2d02cb9</vt:lpwstr>
  </property>
  <property fmtid="{D5CDD505-2E9C-101B-9397-08002B2CF9AE}" pid="8" name="MSIP_Label_4cad6431-53ea-4466-8111-3fefa470bcb9_ContentBits">
    <vt:lpwstr>0</vt:lpwstr>
  </property>
</Properties>
</file>