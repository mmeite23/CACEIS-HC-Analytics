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hld.net\dfs\users\HOUHMIDI\Desktop\JIRA PROSPECTUS\Sujet Alberthon\Alexandra\"/>
    </mc:Choice>
  </mc:AlternateContent>
  <xr:revisionPtr revIDLastSave="0" documentId="13_ncr:1_{1C192799-F025-4A97-88FA-FEADE68367ED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Bilan groupe" sheetId="1" state="hidden" r:id="rId1"/>
    <sheet name="Lauréats" sheetId="2" r:id="rId2"/>
    <sheet name="Thèmes" sheetId="3" r:id="rId3"/>
  </sheets>
  <definedNames>
    <definedName name="_xlnm._FilterDatabase" localSheetId="1" hidden="1">Lauréats!$A$1:$G$1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36" i="2"/>
  <c r="H13" i="1"/>
  <c r="F13" i="1" l="1"/>
</calcChain>
</file>

<file path=xl/sharedStrings.xml><?xml version="1.0" encoding="utf-8"?>
<sst xmlns="http://schemas.openxmlformats.org/spreadsheetml/2006/main" count="253" uniqueCount="80">
  <si>
    <t>BILAN COUPS DE POUCE GROUPE</t>
  </si>
  <si>
    <t>Entité</t>
  </si>
  <si>
    <t xml:space="preserve">Jury </t>
  </si>
  <si>
    <t xml:space="preserve">Envoi </t>
  </si>
  <si>
    <t>Réponse</t>
  </si>
  <si>
    <t>Relance</t>
  </si>
  <si>
    <t xml:space="preserve">Nombre de lauréats </t>
  </si>
  <si>
    <t>Montant total des subventions</t>
  </si>
  <si>
    <t>CA Assurances</t>
  </si>
  <si>
    <t>x</t>
  </si>
  <si>
    <t>Jury CDP le 7 novembre, me revient le 9/11</t>
  </si>
  <si>
    <t>CACIB</t>
  </si>
  <si>
    <t>LCL</t>
  </si>
  <si>
    <t>CACEIS</t>
  </si>
  <si>
    <t>X, le 13/11</t>
  </si>
  <si>
    <t>oui</t>
  </si>
  <si>
    <t>AMUNDI</t>
  </si>
  <si>
    <t>CASA</t>
  </si>
  <si>
    <t>15/16/17 octobre</t>
  </si>
  <si>
    <t>CA Immo</t>
  </si>
  <si>
    <t>CAPS</t>
  </si>
  <si>
    <t>CA CF</t>
  </si>
  <si>
    <t>X</t>
  </si>
  <si>
    <t>Total nb de lauréats</t>
  </si>
  <si>
    <t>Total subventions</t>
  </si>
  <si>
    <t>Nom du collaborateur</t>
  </si>
  <si>
    <t>Prénom du collaborateur</t>
  </si>
  <si>
    <t>Nom de l'association</t>
  </si>
  <si>
    <t>Montant alloué</t>
  </si>
  <si>
    <t>Mail</t>
  </si>
  <si>
    <t>Thèmes</t>
  </si>
  <si>
    <t>total amount</t>
  </si>
  <si>
    <t>CACEIS en France</t>
  </si>
  <si>
    <t>AFEPY</t>
  </si>
  <si>
    <t>Education</t>
  </si>
  <si>
    <t>Entente féminine</t>
  </si>
  <si>
    <t>Social et insertion</t>
  </si>
  <si>
    <t>Femmes Entraide et Autonomie</t>
  </si>
  <si>
    <t>Fondament'All</t>
  </si>
  <si>
    <t>Solidarité internationale</t>
  </si>
  <si>
    <t>Kymba</t>
  </si>
  <si>
    <t>Santé et recherche</t>
  </si>
  <si>
    <t>Les géants de la côte</t>
  </si>
  <si>
    <t>Plongeurs du monde</t>
  </si>
  <si>
    <t>Environnement</t>
  </si>
  <si>
    <t>CACEIS en Suisse</t>
  </si>
  <si>
    <t>Golfons pour eux</t>
  </si>
  <si>
    <t>Zürcher Silversterlauf</t>
  </si>
  <si>
    <t>Nyon Handball Club</t>
  </si>
  <si>
    <t>FOCALE : " photographier les Nyonnais" projet 2026-2027</t>
  </si>
  <si>
    <t>Sport Lausanne Benefica</t>
  </si>
  <si>
    <t>CA Foundation</t>
  </si>
  <si>
    <t>CACEIS Luxembourg</t>
  </si>
  <si>
    <t>Fondation Kriibskrank Kanner</t>
  </si>
  <si>
    <t>Help4Mada</t>
  </si>
  <si>
    <t>L’Archée</t>
  </si>
  <si>
    <t xml:space="preserve">Union gymnique Longwy </t>
  </si>
  <si>
    <t xml:space="preserve">Coopération Nord-Sud </t>
  </si>
  <si>
    <t>Les Sœurs Voltées </t>
  </si>
  <si>
    <t>CACEIS Pays Bas</t>
  </si>
  <si>
    <t>Kika (children Cancer Free Foundation)</t>
  </si>
  <si>
    <t>The Regenboog Groep</t>
  </si>
  <si>
    <t>Schuldhulpmaatje</t>
  </si>
  <si>
    <t>Puur for kids</t>
  </si>
  <si>
    <t>Stichting PLN</t>
  </si>
  <si>
    <t>Stichting Dierenasiel Almere</t>
  </si>
  <si>
    <t>protection animale</t>
  </si>
  <si>
    <t>Stichting Sint voor elk kind</t>
  </si>
  <si>
    <t>Stichting Nepal</t>
  </si>
  <si>
    <t>Rugby Academy ZuidWest</t>
  </si>
  <si>
    <t>Stchting Het Zwembad</t>
  </si>
  <si>
    <t>CACEIS  Allemagne</t>
  </si>
  <si>
    <t>Montessori Kinderhaus</t>
  </si>
  <si>
    <t>Freibad Ainhofen</t>
  </si>
  <si>
    <t>Culture et patrimoine</t>
  </si>
  <si>
    <t>AK Tigers</t>
  </si>
  <si>
    <t>Wasserwacht Ainhofen</t>
  </si>
  <si>
    <t>FC 1956 Fraunberg</t>
  </si>
  <si>
    <t xml:space="preserve">Thèmes 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</si>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</sst>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\ &quot;€&quot;_-;\-* #,##0\ &quot;€&quot;_-;_-* &quot;-&quot;??\ &quot;€&quot;_-;_-@_-"/>
    <numFmt numFmtId="166" formatCode="#,##0\ &quot;€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95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0" fontId="7" fillId="9" borderId="0" applyNumberFormat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1" xfId="0" applyBorder="1"/>
    <xf numFmtId="16" fontId="4" fillId="0" borderId="1" xfId="0" applyNumberFormat="1" applyFont="1" applyBorder="1" applyAlignment="1">
      <alignment horizontal="center" vertical="center" wrapText="1" readingOrder="1"/>
    </xf>
    <xf numFmtId="16" fontId="3" fillId="0" borderId="1" xfId="0" applyNumberFormat="1" applyFont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6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top" wrapText="1"/>
    </xf>
    <xf numFmtId="6" fontId="1" fillId="5" borderId="4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6" fontId="1" fillId="0" borderId="1" xfId="0" applyNumberFormat="1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 readingOrder="1"/>
    </xf>
    <xf numFmtId="0" fontId="3" fillId="10" borderId="1" xfId="0" applyFont="1" applyFill="1" applyBorder="1" applyAlignment="1">
      <alignment horizontal="center" vertical="center" wrapText="1" readingOrder="1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6" fontId="1" fillId="10" borderId="2" xfId="0" applyNumberFormat="1" applyFont="1" applyFill="1" applyBorder="1" applyAlignment="1">
      <alignment horizontal="center"/>
    </xf>
    <xf numFmtId="16" fontId="4" fillId="10" borderId="1" xfId="0" applyNumberFormat="1" applyFont="1" applyFill="1" applyBorder="1" applyAlignment="1">
      <alignment horizontal="center" vertical="center" wrapText="1" readingOrder="1"/>
    </xf>
    <xf numFmtId="16" fontId="3" fillId="10" borderId="1" xfId="0" applyNumberFormat="1" applyFont="1" applyFill="1" applyBorder="1" applyAlignment="1">
      <alignment horizontal="center" vertical="center" wrapText="1" readingOrder="1"/>
    </xf>
    <xf numFmtId="0" fontId="0" fillId="10" borderId="2" xfId="0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0" fillId="0" borderId="6" xfId="0" applyBorder="1"/>
    <xf numFmtId="0" fontId="2" fillId="0" borderId="6" xfId="0" applyFont="1" applyBorder="1" applyAlignment="1">
      <alignment horizontal="center"/>
    </xf>
    <xf numFmtId="44" fontId="8" fillId="0" borderId="6" xfId="3" applyFont="1" applyBorder="1" applyAlignment="1">
      <alignment horizontal="center" vertical="center"/>
    </xf>
    <xf numFmtId="0" fontId="0" fillId="0" borderId="9" xfId="0" applyBorder="1"/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0" fillId="0" borderId="8" xfId="0" applyBorder="1"/>
    <xf numFmtId="0" fontId="10" fillId="7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44" fontId="10" fillId="7" borderId="7" xfId="3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64" fontId="0" fillId="8" borderId="0" xfId="8" applyNumberFormat="1" applyFont="1" applyFill="1" applyBorder="1" applyAlignment="1">
      <alignment horizontal="center"/>
    </xf>
    <xf numFmtId="0" fontId="0" fillId="8" borderId="0" xfId="0" applyFill="1"/>
    <xf numFmtId="164" fontId="1" fillId="8" borderId="0" xfId="8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8" fillId="0" borderId="11" xfId="0" applyFont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165" fontId="12" fillId="0" borderId="1" xfId="3" applyNumberFormat="1" applyFont="1" applyBorder="1" applyAlignment="1">
      <alignment horizontal="center" vertical="center"/>
    </xf>
    <xf numFmtId="44" fontId="8" fillId="0" borderId="12" xfId="3" applyFont="1" applyBorder="1" applyAlignment="1">
      <alignment horizontal="center" vertical="center"/>
    </xf>
    <xf numFmtId="0" fontId="6" fillId="8" borderId="0" xfId="0" applyFont="1" applyFill="1" applyAlignment="1">
      <alignment horizontal="left"/>
    </xf>
    <xf numFmtId="165" fontId="1" fillId="0" borderId="0" xfId="0" applyNumberFormat="1" applyFont="1"/>
    <xf numFmtId="0" fontId="10" fillId="7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vertical="center"/>
    </xf>
    <xf numFmtId="0" fontId="12" fillId="0" borderId="15" xfId="0" applyFont="1" applyBorder="1" applyAlignment="1">
      <alignment horizontal="left" vertical="center"/>
    </xf>
    <xf numFmtId="0" fontId="12" fillId="0" borderId="15" xfId="0" applyFont="1" applyBorder="1" applyAlignment="1">
      <alignment horizontal="left"/>
    </xf>
    <xf numFmtId="165" fontId="12" fillId="0" borderId="15" xfId="3" applyNumberFormat="1" applyFont="1" applyBorder="1" applyAlignment="1">
      <alignment horizontal="center" vertical="center"/>
    </xf>
    <xf numFmtId="0" fontId="6" fillId="8" borderId="15" xfId="0" applyFont="1" applyFill="1" applyBorder="1" applyAlignment="1">
      <alignment horizontal="center"/>
    </xf>
    <xf numFmtId="0" fontId="11" fillId="8" borderId="17" xfId="0" applyFont="1" applyFill="1" applyBorder="1" applyAlignment="1">
      <alignment vertical="center"/>
    </xf>
    <xf numFmtId="0" fontId="11" fillId="8" borderId="19" xfId="0" applyFont="1" applyFill="1" applyBorder="1" applyAlignment="1">
      <alignment vertical="center"/>
    </xf>
    <xf numFmtId="0" fontId="6" fillId="8" borderId="20" xfId="0" applyFont="1" applyFill="1" applyBorder="1" applyAlignment="1">
      <alignment horizontal="left"/>
    </xf>
    <xf numFmtId="165" fontId="12" fillId="0" borderId="20" xfId="3" applyNumberFormat="1" applyFont="1" applyBorder="1" applyAlignment="1">
      <alignment horizontal="center" vertical="center"/>
    </xf>
    <xf numFmtId="0" fontId="6" fillId="8" borderId="20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left"/>
    </xf>
    <xf numFmtId="0" fontId="11" fillId="8" borderId="14" xfId="0" applyFont="1" applyFill="1" applyBorder="1" applyAlignment="1">
      <alignment horizontal="left" vertical="center"/>
    </xf>
    <xf numFmtId="0" fontId="11" fillId="8" borderId="17" xfId="0" applyFont="1" applyFill="1" applyBorder="1" applyAlignment="1">
      <alignment horizontal="left" vertical="center"/>
    </xf>
    <xf numFmtId="0" fontId="11" fillId="8" borderId="19" xfId="0" applyFont="1" applyFill="1" applyBorder="1" applyAlignment="1">
      <alignment horizontal="left" vertical="center"/>
    </xf>
    <xf numFmtId="165" fontId="12" fillId="8" borderId="15" xfId="3" applyNumberFormat="1" applyFont="1" applyFill="1" applyBorder="1" applyAlignment="1">
      <alignment horizontal="center" vertical="center"/>
    </xf>
    <xf numFmtId="165" fontId="12" fillId="8" borderId="1" xfId="3" applyNumberFormat="1" applyFont="1" applyFill="1" applyBorder="1" applyAlignment="1">
      <alignment horizontal="center" vertical="center"/>
    </xf>
    <xf numFmtId="166" fontId="0" fillId="8" borderId="15" xfId="8" applyNumberFormat="1" applyFont="1" applyFill="1" applyBorder="1" applyAlignment="1">
      <alignment horizontal="center"/>
    </xf>
    <xf numFmtId="166" fontId="0" fillId="8" borderId="1" xfId="8" applyNumberFormat="1" applyFont="1" applyFill="1" applyBorder="1" applyAlignment="1">
      <alignment horizontal="center"/>
    </xf>
    <xf numFmtId="166" fontId="0" fillId="8" borderId="20" xfId="8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center"/>
    </xf>
    <xf numFmtId="44" fontId="8" fillId="8" borderId="1" xfId="3" applyFont="1" applyFill="1" applyBorder="1" applyAlignment="1">
      <alignment horizontal="center" vertical="center"/>
    </xf>
    <xf numFmtId="44" fontId="8" fillId="8" borderId="20" xfId="3" applyFont="1" applyFill="1" applyBorder="1" applyAlignment="1">
      <alignment horizontal="center" vertical="center"/>
    </xf>
    <xf numFmtId="44" fontId="4" fillId="8" borderId="0" xfId="0" applyNumberFormat="1" applyFont="1" applyFill="1" applyAlignment="1">
      <alignment horizontal="center" vertical="center"/>
    </xf>
    <xf numFmtId="44" fontId="0" fillId="8" borderId="1" xfId="8" applyNumberFormat="1" applyFont="1" applyFill="1" applyBorder="1" applyAlignment="1">
      <alignment horizontal="center" vertical="center"/>
    </xf>
    <xf numFmtId="165" fontId="12" fillId="0" borderId="23" xfId="3" applyNumberFormat="1" applyFont="1" applyBorder="1" applyAlignment="1">
      <alignment horizontal="center" vertical="center"/>
    </xf>
    <xf numFmtId="0" fontId="11" fillId="8" borderId="26" xfId="0" applyFont="1" applyFill="1" applyBorder="1" applyAlignment="1">
      <alignment vertical="center"/>
    </xf>
    <xf numFmtId="0" fontId="6" fillId="8" borderId="27" xfId="0" applyFont="1" applyFill="1" applyBorder="1" applyAlignment="1">
      <alignment horizontal="left"/>
    </xf>
    <xf numFmtId="165" fontId="12" fillId="8" borderId="20" xfId="3" applyNumberFormat="1" applyFont="1" applyFill="1" applyBorder="1" applyAlignment="1">
      <alignment horizontal="center" vertical="center"/>
    </xf>
    <xf numFmtId="165" fontId="12" fillId="8" borderId="27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165" fontId="12" fillId="0" borderId="22" xfId="3" applyNumberFormat="1" applyFont="1" applyBorder="1" applyAlignment="1">
      <alignment horizontal="center" vertical="center"/>
    </xf>
    <xf numFmtId="165" fontId="12" fillId="0" borderId="23" xfId="3" applyNumberFormat="1" applyFont="1" applyBorder="1" applyAlignment="1">
      <alignment horizontal="center" vertical="center"/>
    </xf>
    <xf numFmtId="165" fontId="12" fillId="0" borderId="24" xfId="3" applyNumberFormat="1" applyFont="1" applyBorder="1" applyAlignment="1">
      <alignment horizontal="center" vertical="center"/>
    </xf>
    <xf numFmtId="165" fontId="12" fillId="0" borderId="16" xfId="3" applyNumberFormat="1" applyFont="1" applyBorder="1" applyAlignment="1">
      <alignment horizontal="center" vertical="center"/>
    </xf>
    <xf numFmtId="165" fontId="12" fillId="0" borderId="18" xfId="3" applyNumberFormat="1" applyFont="1" applyBorder="1" applyAlignment="1">
      <alignment horizontal="center" vertical="center"/>
    </xf>
    <xf numFmtId="165" fontId="12" fillId="0" borderId="21" xfId="3" applyNumberFormat="1" applyFont="1" applyBorder="1" applyAlignment="1">
      <alignment horizontal="center" vertical="center"/>
    </xf>
    <xf numFmtId="6" fontId="0" fillId="8" borderId="16" xfId="0" applyNumberForma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</cellXfs>
  <cellStyles count="11">
    <cellStyle name="Comma" xfId="8" builtinId="3"/>
    <cellStyle name="Currency" xfId="3" builtinId="4"/>
    <cellStyle name="Hyperlink" xfId="10" xr:uid="{00000000-000B-0000-0000-000008000000}"/>
    <cellStyle name="Monétaire 2" xfId="2" xr:uid="{00000000-0005-0000-0000-000002000000}"/>
    <cellStyle name="Monétaire 2 2" xfId="4" xr:uid="{00000000-0005-0000-0000-000003000000}"/>
    <cellStyle name="Monétaire 2 3" xfId="6" xr:uid="{00000000-0005-0000-0000-000004000000}"/>
    <cellStyle name="Monétaire 3" xfId="5" xr:uid="{00000000-0005-0000-0000-000005000000}"/>
    <cellStyle name="Monétaire 4" xfId="7" xr:uid="{00000000-0005-0000-0000-000006000000}"/>
    <cellStyle name="Neutre 2" xfId="1" xr:uid="{00000000-0005-0000-0000-000007000000}"/>
    <cellStyle name="Normal" xfId="0" builtinId="0"/>
    <cellStyle name="Normal 3" xfId="9" xr:uid="{8EDB2DE7-51EB-45CE-8CC6-07E7C3C6E49A}"/>
  </cellStyles>
  <dxfs count="0"/>
  <tableStyles count="0" defaultTableStyle="TableStyleMedium2" defaultPivotStyle="PivotStyleLight16"/>
  <colors>
    <mruColors>
      <color rgb="FFDDC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"/>
  <sheetViews>
    <sheetView workbookViewId="0">
      <selection activeCell="K11" sqref="K11"/>
    </sheetView>
  </sheetViews>
  <sheetFormatPr defaultColWidth="10.85546875" defaultRowHeight="15" x14ac:dyDescent="0.25"/>
  <cols>
    <col min="1" max="1" width="11.28515625"/>
    <col min="2" max="2" width="20" customWidth="1"/>
    <col min="3" max="3" width="5.7109375" hidden="1" customWidth="1"/>
    <col min="4" max="4" width="15.28515625" hidden="1" customWidth="1"/>
    <col min="5" max="5" width="12.7109375" hidden="1" customWidth="1"/>
    <col min="7" max="7" width="28.5703125" bestFit="1" customWidth="1"/>
  </cols>
  <sheetData>
    <row r="1" spans="1:37" x14ac:dyDescent="0.25">
      <c r="A1" s="93" t="s">
        <v>0</v>
      </c>
      <c r="B1" s="93"/>
      <c r="C1" s="93"/>
    </row>
    <row r="2" spans="1:37" x14ac:dyDescent="0.25">
      <c r="A2" s="1"/>
      <c r="B2" s="1"/>
    </row>
    <row r="3" spans="1:37" s="2" customFormat="1" ht="47.25" x14ac:dyDescent="0.25">
      <c r="A3" s="3" t="s">
        <v>1</v>
      </c>
      <c r="B3" s="3" t="s">
        <v>2</v>
      </c>
      <c r="C3" s="11" t="s">
        <v>3</v>
      </c>
      <c r="D3" s="11" t="s">
        <v>4</v>
      </c>
      <c r="E3" s="12" t="s">
        <v>5</v>
      </c>
      <c r="F3" s="4" t="s">
        <v>6</v>
      </c>
      <c r="G3" s="4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spans="1:37" ht="32.1" customHeight="1" x14ac:dyDescent="0.25">
      <c r="A4" s="10" t="s">
        <v>8</v>
      </c>
      <c r="B4" s="5"/>
      <c r="C4" s="6" t="s">
        <v>9</v>
      </c>
      <c r="D4" s="17" t="s">
        <v>10</v>
      </c>
      <c r="E4" s="7"/>
      <c r="F4" s="19">
        <v>13</v>
      </c>
      <c r="G4" s="15">
        <v>30000</v>
      </c>
    </row>
    <row r="5" spans="1:37" x14ac:dyDescent="0.25">
      <c r="A5" s="10" t="s">
        <v>11</v>
      </c>
      <c r="B5" s="5"/>
      <c r="C5" s="6" t="s">
        <v>9</v>
      </c>
      <c r="D5" s="13" t="s">
        <v>9</v>
      </c>
      <c r="E5" s="7"/>
      <c r="F5" s="13">
        <v>20</v>
      </c>
      <c r="G5" s="15">
        <v>51000</v>
      </c>
    </row>
    <row r="6" spans="1:37" x14ac:dyDescent="0.25">
      <c r="A6" s="10" t="s">
        <v>12</v>
      </c>
      <c r="B6" s="8"/>
      <c r="C6" s="9" t="s">
        <v>9</v>
      </c>
      <c r="D6" s="13"/>
      <c r="E6" s="7"/>
      <c r="F6" s="20">
        <v>28</v>
      </c>
      <c r="G6" s="21">
        <v>51500</v>
      </c>
    </row>
    <row r="7" spans="1:37" x14ac:dyDescent="0.25">
      <c r="A7" s="10" t="s">
        <v>13</v>
      </c>
      <c r="B7" s="5"/>
      <c r="C7" s="6" t="s">
        <v>9</v>
      </c>
      <c r="D7" s="13" t="s">
        <v>14</v>
      </c>
      <c r="E7" s="13" t="s">
        <v>15</v>
      </c>
      <c r="F7" s="13">
        <v>12</v>
      </c>
      <c r="G7" s="25">
        <v>20000</v>
      </c>
    </row>
    <row r="8" spans="1:37" x14ac:dyDescent="0.25">
      <c r="A8" s="10" t="s">
        <v>16</v>
      </c>
      <c r="B8" s="5"/>
      <c r="C8" s="6" t="s">
        <v>9</v>
      </c>
      <c r="D8" s="13" t="s">
        <v>9</v>
      </c>
      <c r="E8" s="7"/>
      <c r="F8" s="13">
        <v>19</v>
      </c>
      <c r="G8" s="15">
        <v>60000</v>
      </c>
    </row>
    <row r="9" spans="1:37" x14ac:dyDescent="0.25">
      <c r="A9" s="10" t="s">
        <v>17</v>
      </c>
      <c r="B9" s="5" t="s">
        <v>18</v>
      </c>
      <c r="C9" s="6" t="s">
        <v>9</v>
      </c>
      <c r="D9" s="13" t="s">
        <v>9</v>
      </c>
      <c r="E9" s="7"/>
      <c r="F9" s="13">
        <v>14</v>
      </c>
      <c r="G9" s="15">
        <v>45000</v>
      </c>
    </row>
    <row r="10" spans="1:37" x14ac:dyDescent="0.25">
      <c r="A10" s="10" t="s">
        <v>19</v>
      </c>
      <c r="B10" s="5"/>
      <c r="C10" s="6" t="s">
        <v>9</v>
      </c>
      <c r="D10" s="13"/>
      <c r="E10" s="7"/>
      <c r="F10" s="20">
        <v>4</v>
      </c>
      <c r="G10" s="15">
        <v>6600</v>
      </c>
    </row>
    <row r="11" spans="1:37" x14ac:dyDescent="0.25">
      <c r="A11" s="26" t="s">
        <v>20</v>
      </c>
      <c r="B11" s="26"/>
      <c r="C11" s="27"/>
      <c r="D11" s="28"/>
      <c r="E11" s="29"/>
      <c r="F11" s="30">
        <v>0</v>
      </c>
      <c r="G11" s="31">
        <v>0</v>
      </c>
    </row>
    <row r="12" spans="1:37" ht="15.75" thickBot="1" x14ac:dyDescent="0.3">
      <c r="A12" s="26" t="s">
        <v>21</v>
      </c>
      <c r="B12" s="32"/>
      <c r="C12" s="33" t="s">
        <v>9</v>
      </c>
      <c r="D12" s="28" t="s">
        <v>22</v>
      </c>
      <c r="E12" s="29"/>
      <c r="F12" s="34"/>
      <c r="G12" s="31">
        <v>0</v>
      </c>
    </row>
    <row r="13" spans="1:37" ht="24.75" thickBot="1" x14ac:dyDescent="0.3">
      <c r="E13" s="22" t="s">
        <v>23</v>
      </c>
      <c r="F13" s="23">
        <f>SUM(F4:F12)</f>
        <v>110</v>
      </c>
      <c r="G13" s="14" t="s">
        <v>24</v>
      </c>
      <c r="H13" s="18">
        <f>SUM(G4:G12)</f>
        <v>264100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abSelected="1" zoomScale="80" zoomScaleNormal="80" workbookViewId="0">
      <pane ySplit="1" topLeftCell="A2" activePane="bottomLeft" state="frozen"/>
      <selection pane="bottomLeft" activeCell="F2" sqref="F2:F35"/>
    </sheetView>
  </sheetViews>
  <sheetFormatPr defaultColWidth="10.85546875" defaultRowHeight="15.75" x14ac:dyDescent="0.25"/>
  <cols>
    <col min="1" max="1" width="34.85546875" style="39" customWidth="1"/>
    <col min="2" max="2" width="27.7109375" style="37" customWidth="1"/>
    <col min="3" max="3" width="15.42578125" style="37" customWidth="1"/>
    <col min="4" max="4" width="52.7109375" style="40" customWidth="1"/>
    <col min="5" max="5" width="23.28515625" style="41" customWidth="1"/>
    <col min="6" max="6" width="40.140625" style="38" customWidth="1"/>
    <col min="7" max="7" width="35.42578125" style="44" customWidth="1"/>
    <col min="10" max="10" width="10.85546875" style="42"/>
    <col min="11" max="16384" width="10.85546875" style="39"/>
  </cols>
  <sheetData>
    <row r="1" spans="1:9" s="36" customFormat="1" ht="32.25" thickBot="1" x14ac:dyDescent="0.3">
      <c r="A1" s="47" t="s">
        <v>1</v>
      </c>
      <c r="B1" s="47" t="s">
        <v>25</v>
      </c>
      <c r="C1" s="48" t="s">
        <v>26</v>
      </c>
      <c r="D1" s="47" t="s">
        <v>27</v>
      </c>
      <c r="E1" s="49" t="s">
        <v>28</v>
      </c>
      <c r="F1" s="48" t="s">
        <v>29</v>
      </c>
      <c r="G1" s="62" t="s">
        <v>30</v>
      </c>
      <c r="H1" s="62" t="s">
        <v>31</v>
      </c>
    </row>
    <row r="2" spans="1:9" ht="16.5" thickBot="1" x14ac:dyDescent="0.3">
      <c r="A2" s="63" t="s">
        <v>32</v>
      </c>
      <c r="B2" s="64" t="s">
        <v>79</v>
      </c>
      <c r="C2" s="64" t="s">
        <v>79</v>
      </c>
      <c r="D2" s="65" t="s">
        <v>33</v>
      </c>
      <c r="E2" s="66">
        <v>5000</v>
      </c>
      <c r="F2" s="64" t="s">
        <v>79</v>
      </c>
      <c r="G2" s="67" t="s">
        <v>34</v>
      </c>
      <c r="H2" s="97">
        <v>20000</v>
      </c>
      <c r="I2" s="54"/>
    </row>
    <row r="3" spans="1:9" ht="16.5" thickBot="1" x14ac:dyDescent="0.3">
      <c r="A3" s="68" t="s">
        <v>32</v>
      </c>
      <c r="B3" s="64" t="s">
        <v>79</v>
      </c>
      <c r="C3" s="64" t="s">
        <v>79</v>
      </c>
      <c r="D3" s="57" t="s">
        <v>35</v>
      </c>
      <c r="E3" s="58">
        <v>1100</v>
      </c>
      <c r="F3" s="64" t="s">
        <v>79</v>
      </c>
      <c r="G3" s="56" t="s">
        <v>36</v>
      </c>
      <c r="H3" s="98"/>
      <c r="I3" s="51"/>
    </row>
    <row r="4" spans="1:9" ht="16.5" thickBot="1" x14ac:dyDescent="0.3">
      <c r="A4" s="68" t="s">
        <v>32</v>
      </c>
      <c r="B4" s="64" t="s">
        <v>79</v>
      </c>
      <c r="C4" s="64" t="s">
        <v>79</v>
      </c>
      <c r="D4" s="57" t="s">
        <v>37</v>
      </c>
      <c r="E4" s="58">
        <v>5000</v>
      </c>
      <c r="F4" s="64" t="s">
        <v>79</v>
      </c>
      <c r="G4" s="56" t="s">
        <v>36</v>
      </c>
      <c r="H4" s="98"/>
      <c r="I4" s="51"/>
    </row>
    <row r="5" spans="1:9" ht="16.5" thickBot="1" x14ac:dyDescent="0.3">
      <c r="A5" s="68" t="s">
        <v>32</v>
      </c>
      <c r="B5" s="64" t="s">
        <v>79</v>
      </c>
      <c r="C5" s="64" t="s">
        <v>79</v>
      </c>
      <c r="D5" s="57" t="s">
        <v>38</v>
      </c>
      <c r="E5" s="58">
        <v>1100</v>
      </c>
      <c r="F5" s="64" t="s">
        <v>79</v>
      </c>
      <c r="G5" s="56" t="s">
        <v>39</v>
      </c>
      <c r="H5" s="98"/>
      <c r="I5" s="51"/>
    </row>
    <row r="6" spans="1:9" ht="16.5" thickBot="1" x14ac:dyDescent="0.3">
      <c r="A6" s="68" t="s">
        <v>32</v>
      </c>
      <c r="B6" s="64" t="s">
        <v>79</v>
      </c>
      <c r="C6" s="64" t="s">
        <v>79</v>
      </c>
      <c r="D6" s="57" t="s">
        <v>40</v>
      </c>
      <c r="E6" s="58">
        <v>1200</v>
      </c>
      <c r="F6" s="64" t="s">
        <v>79</v>
      </c>
      <c r="G6" s="56" t="s">
        <v>41</v>
      </c>
      <c r="H6" s="98"/>
      <c r="I6" s="51"/>
    </row>
    <row r="7" spans="1:9" ht="16.5" thickBot="1" x14ac:dyDescent="0.3">
      <c r="A7" s="68" t="s">
        <v>32</v>
      </c>
      <c r="B7" s="64" t="s">
        <v>79</v>
      </c>
      <c r="C7" s="64" t="s">
        <v>79</v>
      </c>
      <c r="D7" s="57" t="s">
        <v>42</v>
      </c>
      <c r="E7" s="58">
        <v>2500</v>
      </c>
      <c r="F7" s="64" t="s">
        <v>79</v>
      </c>
      <c r="G7" s="56" t="s">
        <v>36</v>
      </c>
      <c r="H7" s="98"/>
      <c r="I7" s="51"/>
    </row>
    <row r="8" spans="1:9" ht="16.5" thickBot="1" x14ac:dyDescent="0.3">
      <c r="A8" s="69" t="s">
        <v>32</v>
      </c>
      <c r="B8" s="64" t="s">
        <v>79</v>
      </c>
      <c r="C8" s="64" t="s">
        <v>79</v>
      </c>
      <c r="D8" s="70" t="s">
        <v>43</v>
      </c>
      <c r="E8" s="71">
        <v>4100</v>
      </c>
      <c r="F8" s="64" t="s">
        <v>79</v>
      </c>
      <c r="G8" s="72" t="s">
        <v>44</v>
      </c>
      <c r="H8" s="99"/>
      <c r="I8" s="51"/>
    </row>
    <row r="9" spans="1:9" ht="16.5" thickBot="1" x14ac:dyDescent="0.3">
      <c r="A9" s="63" t="s">
        <v>45</v>
      </c>
      <c r="B9" s="64" t="s">
        <v>79</v>
      </c>
      <c r="C9" s="64" t="s">
        <v>79</v>
      </c>
      <c r="D9" s="73" t="s">
        <v>46</v>
      </c>
      <c r="E9" s="77">
        <v>3221</v>
      </c>
      <c r="F9" s="64" t="s">
        <v>79</v>
      </c>
      <c r="G9" s="67" t="s">
        <v>36</v>
      </c>
      <c r="H9" s="94">
        <f>11813+E14</f>
        <v>12180</v>
      </c>
      <c r="I9" s="51"/>
    </row>
    <row r="10" spans="1:9" ht="16.5" thickBot="1" x14ac:dyDescent="0.3">
      <c r="A10" s="68" t="s">
        <v>45</v>
      </c>
      <c r="B10" s="64" t="s">
        <v>79</v>
      </c>
      <c r="C10" s="64" t="s">
        <v>79</v>
      </c>
      <c r="D10" s="57" t="s">
        <v>47</v>
      </c>
      <c r="E10" s="78">
        <v>2685</v>
      </c>
      <c r="F10" s="64" t="s">
        <v>79</v>
      </c>
      <c r="G10" s="56" t="s">
        <v>39</v>
      </c>
      <c r="H10" s="95"/>
      <c r="I10" s="51"/>
    </row>
    <row r="11" spans="1:9" ht="16.5" thickBot="1" x14ac:dyDescent="0.3">
      <c r="A11" s="68" t="s">
        <v>45</v>
      </c>
      <c r="B11" s="64" t="s">
        <v>79</v>
      </c>
      <c r="C11" s="64" t="s">
        <v>79</v>
      </c>
      <c r="D11" s="57" t="s">
        <v>48</v>
      </c>
      <c r="E11" s="78">
        <v>2148</v>
      </c>
      <c r="F11" s="64" t="s">
        <v>79</v>
      </c>
      <c r="G11" s="56" t="s">
        <v>36</v>
      </c>
      <c r="H11" s="95"/>
      <c r="I11" s="51"/>
    </row>
    <row r="12" spans="1:9" ht="16.5" thickBot="1" x14ac:dyDescent="0.3">
      <c r="A12" s="68" t="s">
        <v>45</v>
      </c>
      <c r="B12" s="64" t="s">
        <v>79</v>
      </c>
      <c r="C12" s="64" t="s">
        <v>79</v>
      </c>
      <c r="D12" s="57" t="s">
        <v>49</v>
      </c>
      <c r="E12" s="78">
        <v>2148</v>
      </c>
      <c r="F12" s="64" t="s">
        <v>79</v>
      </c>
      <c r="G12" s="56" t="s">
        <v>36</v>
      </c>
      <c r="H12" s="95"/>
      <c r="I12" s="51"/>
    </row>
    <row r="13" spans="1:9" ht="16.5" thickBot="1" x14ac:dyDescent="0.3">
      <c r="A13" s="69" t="s">
        <v>45</v>
      </c>
      <c r="B13" s="64" t="s">
        <v>79</v>
      </c>
      <c r="C13" s="64" t="s">
        <v>79</v>
      </c>
      <c r="D13" s="70" t="s">
        <v>50</v>
      </c>
      <c r="E13" s="91">
        <v>1611</v>
      </c>
      <c r="F13" s="64" t="s">
        <v>79</v>
      </c>
      <c r="G13" s="72" t="s">
        <v>36</v>
      </c>
      <c r="H13" s="96"/>
      <c r="I13" s="51"/>
    </row>
    <row r="14" spans="1:9" ht="16.5" thickBot="1" x14ac:dyDescent="0.3">
      <c r="A14" s="89" t="s">
        <v>45</v>
      </c>
      <c r="B14" s="64" t="s">
        <v>79</v>
      </c>
      <c r="C14" s="64" t="s">
        <v>79</v>
      </c>
      <c r="D14" s="90" t="s">
        <v>51</v>
      </c>
      <c r="E14" s="92">
        <v>367</v>
      </c>
      <c r="F14" s="64" t="s">
        <v>79</v>
      </c>
      <c r="G14" s="72" t="s">
        <v>36</v>
      </c>
      <c r="H14" s="88"/>
      <c r="I14" s="51"/>
    </row>
    <row r="15" spans="1:9" ht="16.5" thickBot="1" x14ac:dyDescent="0.3">
      <c r="A15" s="74" t="s">
        <v>52</v>
      </c>
      <c r="B15" s="64" t="s">
        <v>79</v>
      </c>
      <c r="C15" s="64" t="s">
        <v>79</v>
      </c>
      <c r="D15" s="73" t="s">
        <v>53</v>
      </c>
      <c r="E15" s="77">
        <v>5000</v>
      </c>
      <c r="F15" s="64" t="s">
        <v>79</v>
      </c>
      <c r="G15" s="67" t="s">
        <v>36</v>
      </c>
      <c r="H15" s="97">
        <v>20000</v>
      </c>
      <c r="I15" s="53"/>
    </row>
    <row r="16" spans="1:9" ht="16.5" thickBot="1" x14ac:dyDescent="0.3">
      <c r="A16" s="75" t="s">
        <v>52</v>
      </c>
      <c r="B16" s="64" t="s">
        <v>79</v>
      </c>
      <c r="C16" s="64" t="s">
        <v>79</v>
      </c>
      <c r="D16" s="57" t="s">
        <v>54</v>
      </c>
      <c r="E16" s="78">
        <v>5000</v>
      </c>
      <c r="F16" s="64" t="s">
        <v>79</v>
      </c>
      <c r="G16" s="56" t="s">
        <v>39</v>
      </c>
      <c r="H16" s="98"/>
      <c r="I16" s="52"/>
    </row>
    <row r="17" spans="1:9" ht="16.5" thickBot="1" x14ac:dyDescent="0.3">
      <c r="A17" s="75" t="s">
        <v>52</v>
      </c>
      <c r="B17" s="64" t="s">
        <v>79</v>
      </c>
      <c r="C17" s="64" t="s">
        <v>79</v>
      </c>
      <c r="D17" s="57" t="s">
        <v>55</v>
      </c>
      <c r="E17" s="78">
        <v>5000</v>
      </c>
      <c r="F17" s="64" t="s">
        <v>79</v>
      </c>
      <c r="G17" s="56" t="s">
        <v>36</v>
      </c>
      <c r="H17" s="98"/>
    </row>
    <row r="18" spans="1:9" ht="16.5" thickBot="1" x14ac:dyDescent="0.3">
      <c r="A18" s="75" t="s">
        <v>52</v>
      </c>
      <c r="B18" s="64" t="s">
        <v>79</v>
      </c>
      <c r="C18" s="64" t="s">
        <v>79</v>
      </c>
      <c r="D18" s="57" t="s">
        <v>56</v>
      </c>
      <c r="E18" s="78">
        <v>1000</v>
      </c>
      <c r="F18" s="64" t="s">
        <v>79</v>
      </c>
      <c r="G18" s="56" t="s">
        <v>36</v>
      </c>
      <c r="H18" s="98"/>
    </row>
    <row r="19" spans="1:9" ht="16.5" thickBot="1" x14ac:dyDescent="0.3">
      <c r="A19" s="75" t="s">
        <v>52</v>
      </c>
      <c r="B19" s="64" t="s">
        <v>79</v>
      </c>
      <c r="C19" s="64" t="s">
        <v>79</v>
      </c>
      <c r="D19" s="57" t="s">
        <v>57</v>
      </c>
      <c r="E19" s="78">
        <v>3500</v>
      </c>
      <c r="F19" s="64" t="s">
        <v>79</v>
      </c>
      <c r="G19" s="56" t="s">
        <v>36</v>
      </c>
      <c r="H19" s="98"/>
    </row>
    <row r="20" spans="1:9" ht="16.5" thickBot="1" x14ac:dyDescent="0.3">
      <c r="A20" s="76" t="s">
        <v>52</v>
      </c>
      <c r="B20" s="64" t="s">
        <v>79</v>
      </c>
      <c r="C20" s="64" t="s">
        <v>79</v>
      </c>
      <c r="D20" s="70" t="s">
        <v>58</v>
      </c>
      <c r="E20" s="78">
        <v>500</v>
      </c>
      <c r="F20" s="64" t="s">
        <v>79</v>
      </c>
      <c r="G20" s="72" t="s">
        <v>39</v>
      </c>
      <c r="H20" s="99"/>
    </row>
    <row r="21" spans="1:9" ht="16.5" thickBot="1" x14ac:dyDescent="0.3">
      <c r="A21" s="74" t="s">
        <v>59</v>
      </c>
      <c r="B21" s="64" t="s">
        <v>79</v>
      </c>
      <c r="C21" s="64" t="s">
        <v>79</v>
      </c>
      <c r="D21" s="73" t="s">
        <v>60</v>
      </c>
      <c r="E21" s="79">
        <v>1750</v>
      </c>
      <c r="F21" s="64" t="s">
        <v>79</v>
      </c>
      <c r="G21" s="67" t="s">
        <v>41</v>
      </c>
      <c r="H21" s="100">
        <v>14000</v>
      </c>
    </row>
    <row r="22" spans="1:9" ht="16.5" thickBot="1" x14ac:dyDescent="0.3">
      <c r="A22" s="75" t="s">
        <v>59</v>
      </c>
      <c r="B22" s="64" t="s">
        <v>79</v>
      </c>
      <c r="C22" s="64" t="s">
        <v>79</v>
      </c>
      <c r="D22" s="57" t="s">
        <v>61</v>
      </c>
      <c r="E22" s="80">
        <v>1750</v>
      </c>
      <c r="F22" s="64" t="s">
        <v>79</v>
      </c>
      <c r="G22" s="56" t="s">
        <v>36</v>
      </c>
      <c r="H22" s="101"/>
    </row>
    <row r="23" spans="1:9" ht="16.5" thickBot="1" x14ac:dyDescent="0.3">
      <c r="A23" s="75" t="s">
        <v>59</v>
      </c>
      <c r="B23" s="64" t="s">
        <v>79</v>
      </c>
      <c r="C23" s="64" t="s">
        <v>79</v>
      </c>
      <c r="D23" s="57" t="s">
        <v>62</v>
      </c>
      <c r="E23" s="80">
        <v>1750</v>
      </c>
      <c r="F23" s="64" t="s">
        <v>79</v>
      </c>
      <c r="G23" s="56" t="s">
        <v>36</v>
      </c>
      <c r="H23" s="101"/>
    </row>
    <row r="24" spans="1:9" ht="16.5" thickBot="1" x14ac:dyDescent="0.3">
      <c r="A24" s="75" t="s">
        <v>59</v>
      </c>
      <c r="B24" s="64" t="s">
        <v>79</v>
      </c>
      <c r="C24" s="64" t="s">
        <v>79</v>
      </c>
      <c r="D24" s="57" t="s">
        <v>63</v>
      </c>
      <c r="E24" s="80">
        <v>1750</v>
      </c>
      <c r="F24" s="64" t="s">
        <v>79</v>
      </c>
      <c r="G24" s="56" t="s">
        <v>36</v>
      </c>
      <c r="H24" s="101"/>
    </row>
    <row r="25" spans="1:9" ht="16.5" thickBot="1" x14ac:dyDescent="0.3">
      <c r="A25" s="75" t="s">
        <v>59</v>
      </c>
      <c r="B25" s="64" t="s">
        <v>79</v>
      </c>
      <c r="C25" s="64" t="s">
        <v>79</v>
      </c>
      <c r="D25" s="57" t="s">
        <v>64</v>
      </c>
      <c r="E25" s="80">
        <v>1750</v>
      </c>
      <c r="F25" s="64" t="s">
        <v>79</v>
      </c>
      <c r="G25" s="56" t="s">
        <v>41</v>
      </c>
      <c r="H25" s="101"/>
    </row>
    <row r="26" spans="1:9" ht="16.5" thickBot="1" x14ac:dyDescent="0.3">
      <c r="A26" s="75" t="s">
        <v>59</v>
      </c>
      <c r="B26" s="64" t="s">
        <v>79</v>
      </c>
      <c r="C26" s="64" t="s">
        <v>79</v>
      </c>
      <c r="D26" s="57" t="s">
        <v>65</v>
      </c>
      <c r="E26" s="80">
        <v>1750</v>
      </c>
      <c r="F26" s="64" t="s">
        <v>79</v>
      </c>
      <c r="G26" s="56" t="s">
        <v>44</v>
      </c>
      <c r="H26" s="101"/>
      <c r="I26" t="s">
        <v>66</v>
      </c>
    </row>
    <row r="27" spans="1:9" ht="16.5" thickBot="1" x14ac:dyDescent="0.3">
      <c r="A27" s="75" t="s">
        <v>59</v>
      </c>
      <c r="B27" s="64" t="s">
        <v>79</v>
      </c>
      <c r="C27" s="64" t="s">
        <v>79</v>
      </c>
      <c r="D27" s="57" t="s">
        <v>67</v>
      </c>
      <c r="E27" s="80">
        <v>1750</v>
      </c>
      <c r="F27" s="64" t="s">
        <v>79</v>
      </c>
      <c r="G27" s="56" t="s">
        <v>36</v>
      </c>
      <c r="H27" s="101"/>
    </row>
    <row r="28" spans="1:9" ht="16.5" thickBot="1" x14ac:dyDescent="0.3">
      <c r="A28" s="75" t="s">
        <v>59</v>
      </c>
      <c r="B28" s="64" t="s">
        <v>79</v>
      </c>
      <c r="C28" s="64" t="s">
        <v>79</v>
      </c>
      <c r="D28" s="82" t="s">
        <v>68</v>
      </c>
      <c r="E28" s="80">
        <v>1750</v>
      </c>
      <c r="F28" s="64" t="s">
        <v>79</v>
      </c>
      <c r="G28" s="83"/>
      <c r="H28" s="102"/>
    </row>
    <row r="29" spans="1:9" ht="16.5" thickBot="1" x14ac:dyDescent="0.3">
      <c r="A29" s="75" t="s">
        <v>59</v>
      </c>
      <c r="B29" s="64" t="s">
        <v>79</v>
      </c>
      <c r="C29" s="64" t="s">
        <v>79</v>
      </c>
      <c r="D29" s="82" t="s">
        <v>69</v>
      </c>
      <c r="E29" s="80">
        <v>1750</v>
      </c>
      <c r="F29" s="64" t="s">
        <v>79</v>
      </c>
      <c r="G29" s="83"/>
      <c r="H29" s="102"/>
    </row>
    <row r="30" spans="1:9" ht="16.5" thickBot="1" x14ac:dyDescent="0.3">
      <c r="A30" s="76" t="s">
        <v>59</v>
      </c>
      <c r="B30" s="64" t="s">
        <v>79</v>
      </c>
      <c r="C30" s="64" t="s">
        <v>79</v>
      </c>
      <c r="D30" s="70" t="s">
        <v>70</v>
      </c>
      <c r="E30" s="81">
        <v>1750</v>
      </c>
      <c r="F30" s="64" t="s">
        <v>79</v>
      </c>
      <c r="G30" s="72" t="s">
        <v>36</v>
      </c>
      <c r="H30" s="103"/>
    </row>
    <row r="31" spans="1:9" ht="16.5" thickBot="1" x14ac:dyDescent="0.3">
      <c r="A31" s="74" t="s">
        <v>71</v>
      </c>
      <c r="B31" s="64" t="s">
        <v>79</v>
      </c>
      <c r="C31" s="64" t="s">
        <v>79</v>
      </c>
      <c r="D31" s="73" t="s">
        <v>72</v>
      </c>
      <c r="E31" s="86">
        <v>4777.67</v>
      </c>
      <c r="F31" s="64" t="s">
        <v>79</v>
      </c>
      <c r="G31" s="67" t="s">
        <v>34</v>
      </c>
      <c r="H31" s="94">
        <v>15000</v>
      </c>
    </row>
    <row r="32" spans="1:9" ht="16.5" thickBot="1" x14ac:dyDescent="0.3">
      <c r="A32" s="75" t="s">
        <v>71</v>
      </c>
      <c r="B32" s="64" t="s">
        <v>79</v>
      </c>
      <c r="C32" s="64" t="s">
        <v>79</v>
      </c>
      <c r="D32" s="57" t="s">
        <v>73</v>
      </c>
      <c r="E32" s="87">
        <v>3717.35</v>
      </c>
      <c r="F32" s="64" t="s">
        <v>79</v>
      </c>
      <c r="G32" s="56" t="s">
        <v>74</v>
      </c>
      <c r="H32" s="95"/>
    </row>
    <row r="33" spans="1:8" ht="16.5" thickBot="1" x14ac:dyDescent="0.3">
      <c r="A33" s="75" t="s">
        <v>71</v>
      </c>
      <c r="B33" s="64" t="s">
        <v>79</v>
      </c>
      <c r="C33" s="64" t="s">
        <v>79</v>
      </c>
      <c r="D33" s="57" t="s">
        <v>75</v>
      </c>
      <c r="E33" s="87">
        <v>2247.5500000000002</v>
      </c>
      <c r="F33" s="64" t="s">
        <v>79</v>
      </c>
      <c r="G33" s="56" t="s">
        <v>34</v>
      </c>
      <c r="H33" s="95"/>
    </row>
    <row r="34" spans="1:8" ht="16.5" thickBot="1" x14ac:dyDescent="0.3">
      <c r="A34" s="75" t="s">
        <v>71</v>
      </c>
      <c r="B34" s="64" t="s">
        <v>79</v>
      </c>
      <c r="C34" s="64" t="s">
        <v>79</v>
      </c>
      <c r="D34" s="57" t="s">
        <v>76</v>
      </c>
      <c r="E34" s="84">
        <v>2671.53</v>
      </c>
      <c r="F34" s="64" t="s">
        <v>79</v>
      </c>
      <c r="G34" s="56" t="s">
        <v>74</v>
      </c>
      <c r="H34" s="95"/>
    </row>
    <row r="35" spans="1:8" ht="16.5" thickBot="1" x14ac:dyDescent="0.3">
      <c r="A35" s="76" t="s">
        <v>71</v>
      </c>
      <c r="B35" s="64" t="s">
        <v>79</v>
      </c>
      <c r="C35" s="64" t="s">
        <v>79</v>
      </c>
      <c r="D35" s="70" t="s">
        <v>77</v>
      </c>
      <c r="E35" s="85">
        <v>1585.9</v>
      </c>
      <c r="F35" s="64" t="s">
        <v>79</v>
      </c>
      <c r="G35" s="56" t="s">
        <v>74</v>
      </c>
      <c r="H35" s="96"/>
    </row>
    <row r="36" spans="1:8" x14ac:dyDescent="0.25">
      <c r="A36" s="46"/>
      <c r="C36" s="55"/>
      <c r="E36" s="59"/>
      <c r="F36" s="45"/>
      <c r="G36" s="55"/>
      <c r="H36" s="61">
        <f>SUM(H2:H35)</f>
        <v>81180</v>
      </c>
    </row>
    <row r="37" spans="1:8" x14ac:dyDescent="0.25">
      <c r="B37" s="43"/>
    </row>
    <row r="38" spans="1:8" x14ac:dyDescent="0.25">
      <c r="D38" s="60"/>
    </row>
    <row r="39" spans="1:8" x14ac:dyDescent="0.25">
      <c r="D39" s="50"/>
    </row>
  </sheetData>
  <dataConsolidate/>
  <mergeCells count="5">
    <mergeCell ref="H31:H35"/>
    <mergeCell ref="H15:H20"/>
    <mergeCell ref="H2:H8"/>
    <mergeCell ref="H9:H13"/>
    <mergeCell ref="H21:H30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E11B93-DDE8-465F-846A-BE79B958D009}">
          <x14:formula1>
            <xm:f>Thèmes!$B$4:$B$9</xm:f>
          </x14:formula1>
          <xm:sqref>G2:G35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9"/>
  <sheetViews>
    <sheetView workbookViewId="0">
      <selection activeCell="A8" sqref="A8"/>
    </sheetView>
  </sheetViews>
  <sheetFormatPr defaultColWidth="10.85546875" defaultRowHeight="15" x14ac:dyDescent="0.25"/>
  <cols>
    <col min="1" max="1" width="24.42578125" customWidth="1"/>
    <col min="2" max="2" width="40.140625" customWidth="1"/>
  </cols>
  <sheetData>
    <row r="1" spans="2:2" ht="22.35" customHeight="1" x14ac:dyDescent="0.25"/>
    <row r="2" spans="2:2" ht="22.35" customHeight="1" x14ac:dyDescent="0.25"/>
    <row r="3" spans="2:2" ht="22.35" customHeight="1" x14ac:dyDescent="0.25">
      <c r="B3" s="35" t="s">
        <v>78</v>
      </c>
    </row>
    <row r="4" spans="2:2" ht="19.899999999999999" customHeight="1" x14ac:dyDescent="0.25">
      <c r="B4" s="24" t="s">
        <v>41</v>
      </c>
    </row>
    <row r="5" spans="2:2" ht="19.899999999999999" customHeight="1" x14ac:dyDescent="0.25">
      <c r="B5" s="24" t="s">
        <v>34</v>
      </c>
    </row>
    <row r="6" spans="2:2" ht="19.899999999999999" customHeight="1" x14ac:dyDescent="0.25">
      <c r="B6" s="24" t="s">
        <v>36</v>
      </c>
    </row>
    <row r="7" spans="2:2" ht="19.899999999999999" customHeight="1" x14ac:dyDescent="0.25">
      <c r="B7" s="24" t="s">
        <v>39</v>
      </c>
    </row>
    <row r="8" spans="2:2" ht="19.899999999999999" customHeight="1" x14ac:dyDescent="0.25">
      <c r="B8" s="24" t="s">
        <v>44</v>
      </c>
    </row>
    <row r="9" spans="2:2" ht="19.899999999999999" customHeight="1" x14ac:dyDescent="0.25">
      <c r="B9" s="24" t="s">
        <v>74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Bilan groupe</vt:lpstr>
      <vt:lpstr>Lauréats</vt:lpstr>
      <vt:lpstr>Thèmes</vt:lpstr>
    </vt:vector>
  </TitlesOfParts>
  <Manager/>
  <Company>SILCA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  VIctoria</dc:creator>
  <cp:keywords/>
  <dc:description/>
  <cp:lastModifiedBy>Ouhmidi, Hicham</cp:lastModifiedBy>
  <cp:revision/>
  <dcterms:created xsi:type="dcterms:W3CDTF">2018-10-26T09:36:32Z</dcterms:created>
  <dcterms:modified xsi:type="dcterms:W3CDTF">2026-03-19T14:08:59Z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Enabled">
    <vt:lpwstr>true</vt:lpwstr>
  </property>
  <property fmtid="{D5CDD505-2E9C-101B-9397-08002B2CF9AE}" pid="3" name="MSIP_Label_4cad6431-53ea-4466-8111-3fefa470bcb9_SetDate">
    <vt:lpwstr>2022-11-21T10:41:24Z</vt:lpwstr>
  </property>
  <property fmtid="{D5CDD505-2E9C-101B-9397-08002B2CF9AE}" pid="4" name="MSIP_Label_4cad6431-53ea-4466-8111-3fefa470bcb9_Method">
    <vt:lpwstr>Privileged</vt:lpwstr>
  </property>
  <property fmtid="{D5CDD505-2E9C-101B-9397-08002B2CF9AE}" pid="5" name="MSIP_Label_4cad6431-53ea-4466-8111-3fefa470bcb9_Name">
    <vt:lpwstr>Usage Interne</vt:lpwstr>
  </property>
  <property fmtid="{D5CDD505-2E9C-101B-9397-08002B2CF9AE}" pid="6" name="MSIP_Label_4cad6431-53ea-4466-8111-3fefa470bcb9_SiteId">
    <vt:lpwstr>fb3baf17-c313-474c-8d5d-577a3ec97a32</vt:lpwstr>
  </property>
  <property fmtid="{D5CDD505-2E9C-101B-9397-08002B2CF9AE}" pid="7" name="MSIP_Label_4cad6431-53ea-4466-8111-3fefa470bcb9_ActionId">
    <vt:lpwstr>9b352101-ab70-4b14-9268-725cc2d02cb9</vt:lpwstr>
  </property>
  <property fmtid="{D5CDD505-2E9C-101B-9397-08002B2CF9AE}" pid="8" name="MSIP_Label_4cad6431-53ea-4466-8111-3fefa470bcb9_ContentBits">
    <vt:lpwstr>0</vt:lpwstr>
  </property>
</Properties>
</file>