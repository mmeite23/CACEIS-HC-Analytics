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hld.net\dfs\users\HOUHMIDI\Desktop\JIRA PROSPECTUS\Sujet Alberthon\Alexandra\"/>
    </mc:Choice>
  </mc:AlternateContent>
  <xr:revisionPtr revIDLastSave="0" documentId="13_ncr:1_{A6AFD920-6FD0-445D-8503-35FC47A7D88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aureats" sheetId="1" r:id="rId1"/>
    <sheet name="Thèmes" sheetId="2" r:id="rId2"/>
    <sheet name="TC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<sst xmlns="http://schemas.openxmlformats.org/spreadsheetml/2006/main" count="119" uniqueCount="36">
  <si>
    <t>Entité</t>
  </si>
  <si>
    <t>Nom du collaborateur</t>
  </si>
  <si>
    <t>Prénom du collaborateur</t>
  </si>
  <si>
    <t>Nom de l'association</t>
  </si>
  <si>
    <t>Montant alloué</t>
  </si>
  <si>
    <t>Téléphone</t>
  </si>
  <si>
    <t>Mail</t>
  </si>
  <si>
    <t>Thème*</t>
  </si>
  <si>
    <t>* rappel de la liste des thèmes en 2ème onglet</t>
  </si>
  <si>
    <t>CACEIS (France)</t>
  </si>
  <si>
    <t>Solidarité internationale</t>
  </si>
  <si>
    <t>Culture et patrimoine</t>
  </si>
  <si>
    <t>Club de baseball/softball de Savigny sur orge « Les Lions »</t>
  </si>
  <si>
    <t>Entente féminine sud Seine et Marne</t>
  </si>
  <si>
    <t>Orry film festival</t>
  </si>
  <si>
    <t>Kymba</t>
  </si>
  <si>
    <t>Laïques sans frontières</t>
  </si>
  <si>
    <t>Oreille Absolue</t>
  </si>
  <si>
    <t>Teriya-solidarité</t>
  </si>
  <si>
    <t>Ti Mada</t>
  </si>
  <si>
    <t>Actives</t>
  </si>
  <si>
    <t xml:space="preserve">Happy HDJ </t>
  </si>
  <si>
    <t xml:space="preserve">Thèmes </t>
  </si>
  <si>
    <t xml:space="preserve">Solidarité et éducation </t>
  </si>
  <si>
    <t xml:space="preserve">Solidarité et santé </t>
  </si>
  <si>
    <t>Insertion et sport</t>
  </si>
  <si>
    <t>CACEIS (Luxembourg)</t>
  </si>
  <si>
    <t xml:space="preserve">Fondatioun Kriibskrank Kanner </t>
  </si>
  <si>
    <t>MealEspoirs</t>
  </si>
  <si>
    <t>Help4Mada</t>
  </si>
  <si>
    <t xml:space="preserve">Union gymnique Longwy </t>
  </si>
  <si>
    <t xml:space="preserve"> Les amis de Gouninne</t>
  </si>
  <si>
    <t xml:space="preserve"> CDSA 31</t>
  </si>
  <si>
    <t>Harmonie de Mont-St-Martin</t>
  </si>
  <si>
    <t xml:space="preserve">TOTAL 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</si>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</sst>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959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4" fontId="3" fillId="2" borderId="1" xfId="2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5" fillId="3" borderId="3" xfId="0" applyFont="1" applyFill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6" xfId="0" applyBorder="1"/>
    <xf numFmtId="0" fontId="0" fillId="0" borderId="2" xfId="0" applyBorder="1"/>
    <xf numFmtId="0" fontId="6" fillId="0" borderId="3" xfId="0" applyFont="1" applyBorder="1" applyAlignment="1">
      <alignment horizontal="center"/>
    </xf>
    <xf numFmtId="164" fontId="0" fillId="3" borderId="3" xfId="1" applyNumberFormat="1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0" fillId="3" borderId="3" xfId="0" applyFill="1" applyBorder="1"/>
    <xf numFmtId="164" fontId="2" fillId="3" borderId="3" xfId="1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44" fontId="6" fillId="0" borderId="7" xfId="2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0" fillId="0" borderId="7" xfId="0" applyBorder="1"/>
    <xf numFmtId="0" fontId="6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44" fontId="6" fillId="0" borderId="2" xfId="2" applyFont="1" applyBorder="1" applyAlignment="1">
      <alignment horizontal="center" vertical="center"/>
    </xf>
    <xf numFmtId="0" fontId="6" fillId="0" borderId="3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9" fillId="3" borderId="0" xfId="0" applyFont="1" applyFill="1" applyBorder="1"/>
    <xf numFmtId="164" fontId="0" fillId="3" borderId="0" xfId="1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10" fillId="0" borderId="3" xfId="0" applyFont="1" applyBorder="1" applyAlignment="1">
      <alignment horizontal="center" vertical="center" wrapText="1"/>
    </xf>
    <xf numFmtId="0" fontId="0" fillId="3" borderId="0" xfId="0" applyFill="1" applyBorder="1"/>
    <xf numFmtId="0" fontId="10" fillId="0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" fillId="3" borderId="0" xfId="0" applyFont="1" applyFill="1" applyBorder="1"/>
    <xf numFmtId="164" fontId="2" fillId="3" borderId="0" xfId="1" applyNumberFormat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44" fontId="6" fillId="3" borderId="0" xfId="2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:G18"/>
    </sheetView>
  </sheetViews>
  <sheetFormatPr defaultColWidth="10.85546875" defaultRowHeight="15.75" x14ac:dyDescent="0.25"/>
  <cols>
    <col min="1" max="1" width="34.85546875" style="14" customWidth="1"/>
    <col min="2" max="2" width="27.7109375" style="27" customWidth="1"/>
    <col min="3" max="3" width="15.42578125" style="27" customWidth="1"/>
    <col min="4" max="4" width="43.42578125" style="28" customWidth="1"/>
    <col min="5" max="5" width="23.28515625" style="30" customWidth="1"/>
    <col min="6" max="6" width="19.28515625" style="27" customWidth="1"/>
    <col min="7" max="7" width="40.140625" style="29" customWidth="1"/>
    <col min="8" max="8" width="35.42578125" style="27" customWidth="1"/>
    <col min="9" max="9" width="26.85546875" style="14" customWidth="1"/>
    <col min="10" max="16384" width="10.85546875" style="14"/>
  </cols>
  <sheetData>
    <row r="1" spans="1:12" s="5" customFormat="1" ht="31.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8" t="s">
        <v>8</v>
      </c>
      <c r="J1" s="48"/>
      <c r="K1" s="48"/>
      <c r="L1" s="48"/>
    </row>
    <row r="2" spans="1:12" ht="37.5" x14ac:dyDescent="0.25">
      <c r="A2" s="6" t="s">
        <v>9</v>
      </c>
      <c r="B2" s="7" t="s">
        <v>35</v>
      </c>
      <c r="C2" s="7" t="s">
        <v>35</v>
      </c>
      <c r="D2" s="8" t="s">
        <v>12</v>
      </c>
      <c r="E2" s="9">
        <v>2000</v>
      </c>
      <c r="F2" s="10"/>
      <c r="G2" s="7" t="s">
        <v>35</v>
      </c>
      <c r="H2" s="16" t="s">
        <v>25</v>
      </c>
      <c r="I2" s="12"/>
      <c r="J2" s="12"/>
      <c r="K2" s="13"/>
    </row>
    <row r="3" spans="1:12" ht="21" x14ac:dyDescent="0.25">
      <c r="A3" s="6" t="s">
        <v>9</v>
      </c>
      <c r="B3" s="7" t="s">
        <v>35</v>
      </c>
      <c r="C3" s="7" t="s">
        <v>35</v>
      </c>
      <c r="D3" s="17" t="s">
        <v>14</v>
      </c>
      <c r="E3" s="9">
        <v>500</v>
      </c>
      <c r="F3" s="15"/>
      <c r="G3" s="7" t="s">
        <v>35</v>
      </c>
      <c r="H3" s="16" t="s">
        <v>11</v>
      </c>
      <c r="I3" s="16"/>
      <c r="J3" s="16"/>
      <c r="K3" s="13"/>
    </row>
    <row r="4" spans="1:12" ht="37.5" x14ac:dyDescent="0.25">
      <c r="A4" s="6" t="s">
        <v>9</v>
      </c>
      <c r="B4" s="7" t="s">
        <v>35</v>
      </c>
      <c r="C4" s="7" t="s">
        <v>35</v>
      </c>
      <c r="D4" s="17" t="s">
        <v>13</v>
      </c>
      <c r="E4" s="9">
        <v>2000</v>
      </c>
      <c r="F4" s="15"/>
      <c r="G4" s="7" t="s">
        <v>35</v>
      </c>
      <c r="H4" s="16" t="s">
        <v>25</v>
      </c>
      <c r="I4" s="16"/>
      <c r="J4" s="16"/>
      <c r="K4" s="13"/>
    </row>
    <row r="5" spans="1:12" ht="21" x14ac:dyDescent="0.25">
      <c r="A5" s="6" t="s">
        <v>9</v>
      </c>
      <c r="B5" s="7" t="s">
        <v>35</v>
      </c>
      <c r="C5" s="7" t="s">
        <v>35</v>
      </c>
      <c r="D5" s="17" t="s">
        <v>15</v>
      </c>
      <c r="E5" s="9">
        <v>1500</v>
      </c>
      <c r="F5" s="15"/>
      <c r="G5" s="7" t="s">
        <v>35</v>
      </c>
      <c r="H5" s="16" t="s">
        <v>24</v>
      </c>
      <c r="I5" s="16"/>
      <c r="J5" s="16"/>
      <c r="K5" s="13"/>
    </row>
    <row r="6" spans="1:12" ht="21" x14ac:dyDescent="0.25">
      <c r="A6" s="6" t="s">
        <v>9</v>
      </c>
      <c r="B6" s="7" t="s">
        <v>35</v>
      </c>
      <c r="C6" s="7" t="s">
        <v>35</v>
      </c>
      <c r="D6" s="8" t="s">
        <v>16</v>
      </c>
      <c r="E6" s="9">
        <v>500</v>
      </c>
      <c r="F6" s="18"/>
      <c r="G6" s="7" t="s">
        <v>35</v>
      </c>
      <c r="H6" s="19" t="s">
        <v>11</v>
      </c>
      <c r="I6" s="16"/>
      <c r="J6" s="16"/>
      <c r="K6" s="13"/>
    </row>
    <row r="7" spans="1:12" ht="21" x14ac:dyDescent="0.25">
      <c r="A7" s="6" t="s">
        <v>9</v>
      </c>
      <c r="B7" s="7" t="s">
        <v>35</v>
      </c>
      <c r="C7" s="7" t="s">
        <v>35</v>
      </c>
      <c r="D7" s="8" t="s">
        <v>17</v>
      </c>
      <c r="E7" s="9">
        <v>1500</v>
      </c>
      <c r="F7" s="15"/>
      <c r="G7" s="7" t="s">
        <v>35</v>
      </c>
      <c r="H7" s="16" t="s">
        <v>11</v>
      </c>
      <c r="I7" s="16"/>
      <c r="J7" s="16"/>
      <c r="K7" s="13"/>
    </row>
    <row r="8" spans="1:12" ht="21" x14ac:dyDescent="0.25">
      <c r="A8" s="6" t="s">
        <v>9</v>
      </c>
      <c r="B8" s="7" t="s">
        <v>35</v>
      </c>
      <c r="C8" s="7" t="s">
        <v>35</v>
      </c>
      <c r="D8" s="20" t="s">
        <v>18</v>
      </c>
      <c r="E8" s="9">
        <v>1500</v>
      </c>
      <c r="F8" s="15"/>
      <c r="G8" s="7" t="s">
        <v>35</v>
      </c>
      <c r="H8" s="11" t="s">
        <v>10</v>
      </c>
      <c r="I8" s="16"/>
      <c r="J8" s="16"/>
      <c r="K8" s="13"/>
    </row>
    <row r="9" spans="1:12" ht="21" x14ac:dyDescent="0.25">
      <c r="A9" s="6" t="s">
        <v>9</v>
      </c>
      <c r="B9" s="7" t="s">
        <v>35</v>
      </c>
      <c r="C9" s="7" t="s">
        <v>35</v>
      </c>
      <c r="D9" s="20" t="s">
        <v>19</v>
      </c>
      <c r="E9" s="9">
        <v>500</v>
      </c>
      <c r="F9" s="15"/>
      <c r="G9" s="7" t="s">
        <v>35</v>
      </c>
      <c r="H9" s="11" t="s">
        <v>10</v>
      </c>
      <c r="I9" s="16"/>
      <c r="J9" s="16"/>
      <c r="K9" s="13"/>
    </row>
    <row r="10" spans="1:12" ht="21" x14ac:dyDescent="0.25">
      <c r="A10" s="6" t="s">
        <v>9</v>
      </c>
      <c r="B10" s="7" t="s">
        <v>35</v>
      </c>
      <c r="C10" s="7" t="s">
        <v>35</v>
      </c>
      <c r="D10" s="20" t="s">
        <v>20</v>
      </c>
      <c r="E10" s="9">
        <v>5000</v>
      </c>
      <c r="F10" s="15"/>
      <c r="G10" s="7" t="s">
        <v>35</v>
      </c>
      <c r="H10" s="16" t="s">
        <v>23</v>
      </c>
      <c r="I10" s="16"/>
      <c r="J10" s="16"/>
      <c r="K10" s="13"/>
    </row>
    <row r="11" spans="1:12" ht="21" x14ac:dyDescent="0.25">
      <c r="A11" s="6" t="s">
        <v>9</v>
      </c>
      <c r="B11" s="7" t="s">
        <v>35</v>
      </c>
      <c r="C11" s="7" t="s">
        <v>35</v>
      </c>
      <c r="D11" s="20" t="s">
        <v>21</v>
      </c>
      <c r="E11" s="9">
        <v>5000</v>
      </c>
      <c r="F11" s="15"/>
      <c r="G11" s="7" t="s">
        <v>35</v>
      </c>
      <c r="H11" s="16" t="s">
        <v>24</v>
      </c>
      <c r="I11" s="16"/>
      <c r="J11" s="16"/>
      <c r="K11" s="13"/>
    </row>
    <row r="12" spans="1:12" ht="21" x14ac:dyDescent="0.25">
      <c r="A12" s="6" t="s">
        <v>26</v>
      </c>
      <c r="B12" s="7" t="s">
        <v>35</v>
      </c>
      <c r="C12" s="7" t="s">
        <v>35</v>
      </c>
      <c r="D12" s="20" t="s">
        <v>27</v>
      </c>
      <c r="E12" s="9">
        <v>5000</v>
      </c>
      <c r="F12" s="15"/>
      <c r="G12" s="7" t="s">
        <v>35</v>
      </c>
      <c r="H12" s="16" t="s">
        <v>24</v>
      </c>
      <c r="I12" s="16"/>
      <c r="J12" s="16"/>
      <c r="K12" s="13"/>
    </row>
    <row r="13" spans="1:12" ht="21" x14ac:dyDescent="0.25">
      <c r="A13" s="6" t="s">
        <v>26</v>
      </c>
      <c r="B13" s="7" t="s">
        <v>35</v>
      </c>
      <c r="C13" s="7" t="s">
        <v>35</v>
      </c>
      <c r="D13" s="20" t="s">
        <v>28</v>
      </c>
      <c r="E13" s="9">
        <v>4085</v>
      </c>
      <c r="F13" s="15"/>
      <c r="G13" s="7" t="s">
        <v>35</v>
      </c>
      <c r="H13" s="16" t="s">
        <v>10</v>
      </c>
      <c r="I13" s="22"/>
      <c r="J13" s="22"/>
      <c r="K13" s="13"/>
    </row>
    <row r="14" spans="1:12" ht="21" x14ac:dyDescent="0.25">
      <c r="A14" s="6" t="s">
        <v>26</v>
      </c>
      <c r="B14" s="7" t="s">
        <v>35</v>
      </c>
      <c r="C14" s="7" t="s">
        <v>35</v>
      </c>
      <c r="D14" s="20" t="s">
        <v>29</v>
      </c>
      <c r="E14" s="9">
        <v>3000</v>
      </c>
      <c r="F14" s="15"/>
      <c r="G14" s="7" t="s">
        <v>35</v>
      </c>
      <c r="H14" s="16" t="s">
        <v>10</v>
      </c>
      <c r="I14" s="21"/>
      <c r="J14" s="21"/>
      <c r="K14" s="13"/>
    </row>
    <row r="15" spans="1:12" ht="21" x14ac:dyDescent="0.25">
      <c r="A15" s="6" t="s">
        <v>26</v>
      </c>
      <c r="B15" s="7" t="s">
        <v>35</v>
      </c>
      <c r="C15" s="7" t="s">
        <v>35</v>
      </c>
      <c r="D15" s="20" t="s">
        <v>31</v>
      </c>
      <c r="E15" s="9">
        <v>3365</v>
      </c>
      <c r="F15" s="25"/>
      <c r="G15" s="7" t="s">
        <v>35</v>
      </c>
      <c r="H15" s="16" t="s">
        <v>10</v>
      </c>
      <c r="I15" s="26"/>
      <c r="J15" s="26"/>
    </row>
    <row r="16" spans="1:12" ht="21" x14ac:dyDescent="0.25">
      <c r="A16" s="6" t="s">
        <v>26</v>
      </c>
      <c r="B16" s="7" t="s">
        <v>35</v>
      </c>
      <c r="C16" s="7" t="s">
        <v>35</v>
      </c>
      <c r="D16" s="20" t="s">
        <v>32</v>
      </c>
      <c r="E16" s="9">
        <v>2100</v>
      </c>
      <c r="G16" s="7" t="s">
        <v>35</v>
      </c>
      <c r="H16" s="16" t="s">
        <v>25</v>
      </c>
    </row>
    <row r="17" spans="1:9" ht="21" x14ac:dyDescent="0.25">
      <c r="A17" s="6" t="s">
        <v>26</v>
      </c>
      <c r="B17" s="7" t="s">
        <v>35</v>
      </c>
      <c r="C17" s="7" t="s">
        <v>35</v>
      </c>
      <c r="D17" s="20" t="s">
        <v>30</v>
      </c>
      <c r="E17" s="9">
        <v>750</v>
      </c>
      <c r="G17" s="7" t="s">
        <v>35</v>
      </c>
      <c r="H17" s="16" t="s">
        <v>25</v>
      </c>
      <c r="I17" s="31"/>
    </row>
    <row r="18" spans="1:9" ht="21" x14ac:dyDescent="0.25">
      <c r="A18" s="6" t="s">
        <v>26</v>
      </c>
      <c r="B18" s="7" t="s">
        <v>35</v>
      </c>
      <c r="C18" s="7" t="s">
        <v>35</v>
      </c>
      <c r="D18" s="20" t="s">
        <v>33</v>
      </c>
      <c r="E18" s="9">
        <v>1700</v>
      </c>
      <c r="F18" s="32"/>
      <c r="G18" s="7" t="s">
        <v>35</v>
      </c>
      <c r="H18" s="16" t="s">
        <v>11</v>
      </c>
      <c r="I18" s="31"/>
    </row>
    <row r="19" spans="1:9" x14ac:dyDescent="0.25">
      <c r="B19" s="33"/>
      <c r="C19" s="34"/>
      <c r="D19" s="35"/>
      <c r="E19" s="35"/>
      <c r="F19" s="35"/>
      <c r="G19" s="36"/>
      <c r="I19" s="31"/>
    </row>
    <row r="20" spans="1:9" x14ac:dyDescent="0.25">
      <c r="B20" s="33"/>
      <c r="C20" s="34"/>
      <c r="D20" s="35"/>
      <c r="E20" s="35"/>
      <c r="F20" s="35"/>
      <c r="G20" s="36"/>
      <c r="I20" s="31"/>
    </row>
    <row r="21" spans="1:9" x14ac:dyDescent="0.25">
      <c r="B21" s="33"/>
      <c r="C21" s="34"/>
      <c r="D21" s="35"/>
      <c r="E21" s="35"/>
      <c r="F21" s="35"/>
      <c r="G21" s="36"/>
      <c r="I21" s="31"/>
    </row>
    <row r="22" spans="1:9" ht="18.75" x14ac:dyDescent="0.25">
      <c r="A22" s="37"/>
      <c r="B22" s="33"/>
      <c r="C22" s="38"/>
      <c r="D22" s="35" t="s">
        <v>34</v>
      </c>
      <c r="E22" s="35">
        <f>SUM(E2:E18)</f>
        <v>40000</v>
      </c>
      <c r="F22" s="35"/>
      <c r="G22" s="36"/>
      <c r="I22" s="31"/>
    </row>
    <row r="23" spans="1:9" ht="18.75" x14ac:dyDescent="0.25">
      <c r="A23" s="37"/>
      <c r="B23" s="33"/>
      <c r="C23" s="38"/>
      <c r="D23" s="35"/>
      <c r="E23" s="35"/>
      <c r="F23" s="35"/>
      <c r="G23" s="36"/>
      <c r="I23" s="31"/>
    </row>
    <row r="24" spans="1:9" ht="18.75" x14ac:dyDescent="0.25">
      <c r="A24" s="39"/>
      <c r="B24" s="33"/>
      <c r="C24" s="38"/>
      <c r="D24" s="35"/>
      <c r="E24" s="35"/>
      <c r="F24" s="35"/>
      <c r="G24" s="36"/>
    </row>
    <row r="25" spans="1:9" ht="18.75" x14ac:dyDescent="0.25">
      <c r="A25" s="39"/>
      <c r="B25" s="33"/>
      <c r="C25" s="38"/>
      <c r="D25" s="35"/>
      <c r="E25" s="35"/>
      <c r="F25" s="35"/>
      <c r="G25" s="36"/>
    </row>
    <row r="26" spans="1:9" ht="18.75" x14ac:dyDescent="0.25">
      <c r="A26" s="37"/>
      <c r="B26" s="33"/>
      <c r="C26" s="38"/>
      <c r="D26" s="35"/>
      <c r="E26" s="35"/>
      <c r="F26" s="35"/>
      <c r="G26" s="36"/>
    </row>
    <row r="27" spans="1:9" ht="18.75" x14ac:dyDescent="0.25">
      <c r="A27" s="40"/>
      <c r="B27" s="33"/>
      <c r="C27" s="38"/>
      <c r="D27" s="35"/>
      <c r="E27" s="35"/>
      <c r="F27" s="35"/>
      <c r="G27" s="36"/>
    </row>
    <row r="28" spans="1:9" ht="18.75" x14ac:dyDescent="0.25">
      <c r="A28" s="41"/>
      <c r="B28" s="33"/>
      <c r="C28" s="38"/>
      <c r="D28" s="35"/>
      <c r="E28" s="35"/>
      <c r="F28" s="35"/>
      <c r="G28" s="36"/>
    </row>
    <row r="29" spans="1:9" x14ac:dyDescent="0.25">
      <c r="B29" s="33"/>
      <c r="C29" s="42"/>
      <c r="D29" s="43"/>
      <c r="E29" s="43"/>
      <c r="F29" s="43"/>
      <c r="G29" s="36"/>
    </row>
    <row r="30" spans="1:9" x14ac:dyDescent="0.25">
      <c r="B30" s="33"/>
      <c r="C30" s="44"/>
      <c r="D30" s="45"/>
      <c r="E30" s="46"/>
      <c r="F30" s="44"/>
      <c r="G30" s="36"/>
    </row>
    <row r="31" spans="1:9" x14ac:dyDescent="0.25">
      <c r="B31" s="33"/>
      <c r="C31" s="44"/>
      <c r="D31" s="45"/>
      <c r="E31" s="46"/>
      <c r="F31" s="44"/>
      <c r="G31" s="36"/>
    </row>
    <row r="32" spans="1:9" x14ac:dyDescent="0.25">
      <c r="C32" s="25"/>
      <c r="D32" s="23"/>
      <c r="E32" s="24"/>
      <c r="F32" s="25"/>
    </row>
  </sheetData>
  <mergeCells count="1">
    <mergeCell ref="I1:L1"/>
  </mergeCells>
  <pageMargins left="0.7" right="0.7" top="0.75" bottom="0.75" header="0.3" footer="0.3"/>
  <pageSetup paperSize="9" orientation="portrait" r:id="rId1"/>
  <headerFooter>
    <oddFooter>&amp;C&amp;1#&amp;"Calibri"&amp;10&amp;K000000Usage Interne /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D12" sqref="D12"/>
    </sheetView>
  </sheetViews>
  <sheetFormatPr defaultColWidth="11.42578125" defaultRowHeight="15" x14ac:dyDescent="0.25"/>
  <cols>
    <col min="1" max="1" width="39.7109375" customWidth="1"/>
  </cols>
  <sheetData>
    <row r="1" spans="1:1" ht="15.75" x14ac:dyDescent="0.25">
      <c r="A1" s="47" t="s">
        <v>22</v>
      </c>
    </row>
    <row r="2" spans="1:1" x14ac:dyDescent="0.25">
      <c r="A2" s="16" t="s">
        <v>25</v>
      </c>
    </row>
    <row r="3" spans="1:1" x14ac:dyDescent="0.25">
      <c r="A3" s="16" t="s">
        <v>11</v>
      </c>
    </row>
    <row r="4" spans="1:1" x14ac:dyDescent="0.25">
      <c r="A4" s="16" t="s">
        <v>25</v>
      </c>
    </row>
    <row r="5" spans="1:1" x14ac:dyDescent="0.25">
      <c r="A5" s="16" t="s">
        <v>24</v>
      </c>
    </row>
    <row r="6" spans="1:1" x14ac:dyDescent="0.25">
      <c r="A6" s="11" t="s">
        <v>10</v>
      </c>
    </row>
    <row r="7" spans="1:1" x14ac:dyDescent="0.25">
      <c r="A7" s="16" t="s">
        <v>23</v>
      </c>
    </row>
  </sheetData>
  <pageMargins left="0.7" right="0.7" top="0.75" bottom="0.75" header="0.3" footer="0.3"/>
  <pageSetup paperSize="9" orientation="portrait" r:id="rId1"/>
  <headerFooter>
    <oddFooter>&amp;C&amp;1#&amp;"Calibri"&amp;10&amp;K000000Usage Interne /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14" sqref="C14"/>
    </sheetView>
  </sheetViews>
  <sheetFormatPr defaultColWidth="11.42578125" defaultRowHeight="15" x14ac:dyDescent="0.25"/>
  <sheetData/>
  <pageMargins left="0.7" right="0.7" top="0.75" bottom="0.75" header="0.3" footer="0.3"/>
  <pageSetup paperSize="9" orientation="portrait" r:id="rId1"/>
  <headerFooter>
    <oddFooter>&amp;C&amp;1#&amp;"Calibri"&amp;10&amp;K000000Usage Interne /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Laureats</vt:lpstr>
      <vt:lpstr>Thèmes</vt:lpstr>
      <vt:lpstr>TCD</vt:lpstr>
    </vt:vector>
  </TitlesOfParts>
  <Company>SILCA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Bot, Anna</dc:creator>
  <cp:lastModifiedBy>Ouhmidi, Hicham</cp:lastModifiedBy>
  <dcterms:created xsi:type="dcterms:W3CDTF">2025-02-12T11:44:34Z</dcterms:created>
  <dcterms:modified xsi:type="dcterms:W3CDTF">2026-03-19T13:56:06Z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959cb2-1791-4379-ac27-73c7defdb1e7_Enabled">
    <vt:lpwstr>true</vt:lpwstr>
  </property>
  <property fmtid="{D5CDD505-2E9C-101B-9397-08002B2CF9AE}" pid="3" name="MSIP_Label_74959cb2-1791-4379-ac27-73c7defdb1e7_SetDate">
    <vt:lpwstr>2025-02-12T21:00:17Z</vt:lpwstr>
  </property>
  <property fmtid="{D5CDD505-2E9C-101B-9397-08002B2CF9AE}" pid="4" name="MSIP_Label_74959cb2-1791-4379-ac27-73c7defdb1e7_Method">
    <vt:lpwstr>Privileged</vt:lpwstr>
  </property>
  <property fmtid="{D5CDD505-2E9C-101B-9397-08002B2CF9AE}" pid="5" name="MSIP_Label_74959cb2-1791-4379-ac27-73c7defdb1e7_Name">
    <vt:lpwstr>C2-Usage Interne</vt:lpwstr>
  </property>
  <property fmtid="{D5CDD505-2E9C-101B-9397-08002B2CF9AE}" pid="6" name="MSIP_Label_74959cb2-1791-4379-ac27-73c7defdb1e7_SiteId">
    <vt:lpwstr>fb3baf17-c313-474c-8d5d-577a3ec97a32</vt:lpwstr>
  </property>
  <property fmtid="{D5CDD505-2E9C-101B-9397-08002B2CF9AE}" pid="7" name="MSIP_Label_74959cb2-1791-4379-ac27-73c7defdb1e7_ActionId">
    <vt:lpwstr>b6b7ce85-a84c-4b5c-89df-50b4ea3158af</vt:lpwstr>
  </property>
  <property fmtid="{D5CDD505-2E9C-101B-9397-08002B2CF9AE}" pid="8" name="MSIP_Label_74959cb2-1791-4379-ac27-73c7defdb1e7_ContentBits">
    <vt:lpwstr>2</vt:lpwstr>
  </property>
</Properties>
</file>